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_disk\projects\analytics_tasks\src\analytics_tasks\automate_office\input\"/>
    </mc:Choice>
  </mc:AlternateContent>
  <xr:revisionPtr revIDLastSave="0" documentId="13_ncr:1_{5BD212A6-083F-487A-A507-AE37D4D95065}" xr6:coauthVersionLast="47" xr6:coauthVersionMax="47" xr10:uidLastSave="{00000000-0000-0000-0000-000000000000}"/>
  <bookViews>
    <workbookView xWindow="3405" yWindow="3540" windowWidth="28305" windowHeight="16380" tabRatio="823" activeTab="6" xr2:uid="{A5D62292-8A0A-4C24-8F2E-3F680CA48C56}"/>
  </bookViews>
  <sheets>
    <sheet name="dev" sheetId="8" r:id="rId1"/>
    <sheet name="exceptions" sheetId="22" r:id="rId2"/>
    <sheet name="report_1" sheetId="1" r:id="rId3"/>
    <sheet name="____colors_del" sheetId="5" state="hidden" r:id="rId4"/>
    <sheet name="xy_bar_horizontal" sheetId="18" state="hidden" r:id="rId5"/>
    <sheet name="xy_hr_bar" sheetId="6" state="hidden" r:id="rId6"/>
    <sheet name="calibration" sheetId="23" r:id="rId7"/>
    <sheet name="xyz_hr_bar_data" sheetId="20" state="hidden" r:id="rId8"/>
    <sheet name="xyz_hr_bar" sheetId="21" state="hidden" r:id="rId9"/>
    <sheet name="xyv_multiline" sheetId="19" state="hidden" r:id="rId10"/>
    <sheet name="xv_single_line" sheetId="28" state="hidden" r:id="rId11"/>
    <sheet name="xyv_stacked_bar_grid" sheetId="9" state="hidden" r:id="rId12"/>
    <sheet name="xyv_stacked_bar" sheetId="17" state="hidden" r:id="rId13"/>
    <sheet name="xyv_stacked_bar_legend" sheetId="24" state="hidden" r:id="rId14"/>
    <sheet name="flow_alluvial_plot_6f" sheetId="25" state="hidden" r:id="rId15"/>
    <sheet name="flow_alluvial_py_r" sheetId="27" state="hidden" r:id="rId16"/>
    <sheet name="xyv_stacked_bar_simple" sheetId="10" state="hidden" r:id="rId17"/>
    <sheet name="xyv_stacked_bar_totals" sheetId="11" state="hidden" r:id="rId18"/>
    <sheet name="xyv_stacked_bar_nok" sheetId="12" state="hidden" r:id="rId19"/>
    <sheet name="xyv_stacked_bar_dual_axis" sheetId="13" state="hidden" r:id="rId20"/>
    <sheet name="xyv_stacked_bar_1x" sheetId="16" state="hidden" r:id="rId21"/>
    <sheet name="xyv_stacked_bar_2x" sheetId="15" state="hidden" r:id="rId22"/>
  </sheets>
  <definedNames>
    <definedName name="_xlnm._FilterDatabase" localSheetId="3" hidden="1">____colors_del!$A$1:$C$2</definedName>
    <definedName name="_xlnm._FilterDatabase" localSheetId="6" hidden="1">calibration!$A$1:$M$53</definedName>
    <definedName name="_xlnm._FilterDatabase" localSheetId="0" hidden="1">dev!$A$1:$F$7</definedName>
    <definedName name="_xlnm._FilterDatabase" localSheetId="1" hidden="1">exceptions!$A$1:$C$2</definedName>
    <definedName name="_xlnm._FilterDatabase" localSheetId="14" hidden="1">flow_alluvial_plot_6f!$E$1:$J$217</definedName>
    <definedName name="_xlnm._FilterDatabase" localSheetId="15" hidden="1">flow_alluvial_py_r!#REF!</definedName>
    <definedName name="_xlnm._FilterDatabase" localSheetId="2" hidden="1">report_1!$A$1:$M$53</definedName>
    <definedName name="_xlnm._FilterDatabase" localSheetId="5" hidden="1">xy_hr_bar!$A$1:$E$4</definedName>
    <definedName name="_xlnm._FilterDatabase" localSheetId="20" hidden="1">xyv_stacked_bar_1x!$A$1:$E$37</definedName>
    <definedName name="_xlnm._FilterDatabase" localSheetId="21" hidden="1">xyv_stacked_bar_2x!$A$1:$E$37</definedName>
    <definedName name="_xlnm._FilterDatabase" localSheetId="8" hidden="1">xyz_hr_bar!$A$1:$E$4</definedName>
  </definedNames>
  <calcPr calcId="191029"/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" i="23" l="1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2" i="23"/>
  <c r="K53" i="1"/>
  <c r="E182" i="25"/>
  <c r="F182" i="25"/>
  <c r="G182" i="25"/>
  <c r="H182" i="25"/>
  <c r="I182" i="25"/>
  <c r="E183" i="25"/>
  <c r="F183" i="25"/>
  <c r="G183" i="25"/>
  <c r="H183" i="25"/>
  <c r="I183" i="25"/>
  <c r="E184" i="25"/>
  <c r="F184" i="25"/>
  <c r="G184" i="25"/>
  <c r="H184" i="25"/>
  <c r="I184" i="25"/>
  <c r="E185" i="25"/>
  <c r="F185" i="25"/>
  <c r="G185" i="25"/>
  <c r="H185" i="25"/>
  <c r="I185" i="25"/>
  <c r="E186" i="25"/>
  <c r="F186" i="25"/>
  <c r="G186" i="25"/>
  <c r="H186" i="25"/>
  <c r="I186" i="25"/>
  <c r="E187" i="25"/>
  <c r="F187" i="25"/>
  <c r="G187" i="25"/>
  <c r="H187" i="25"/>
  <c r="I187" i="25"/>
  <c r="E188" i="25"/>
  <c r="F188" i="25"/>
  <c r="G188" i="25"/>
  <c r="H188" i="25"/>
  <c r="I188" i="25"/>
  <c r="E189" i="25"/>
  <c r="F189" i="25"/>
  <c r="G189" i="25"/>
  <c r="H189" i="25"/>
  <c r="I189" i="25"/>
  <c r="E190" i="25"/>
  <c r="F190" i="25"/>
  <c r="G190" i="25"/>
  <c r="H190" i="25"/>
  <c r="I190" i="25"/>
  <c r="E191" i="25"/>
  <c r="F191" i="25"/>
  <c r="G191" i="25"/>
  <c r="H191" i="25"/>
  <c r="I191" i="25"/>
  <c r="E192" i="25"/>
  <c r="F192" i="25"/>
  <c r="G192" i="25"/>
  <c r="H192" i="25"/>
  <c r="I192" i="25"/>
  <c r="E193" i="25"/>
  <c r="F193" i="25"/>
  <c r="G193" i="25"/>
  <c r="H193" i="25"/>
  <c r="I193" i="25"/>
  <c r="E194" i="25"/>
  <c r="F194" i="25"/>
  <c r="G194" i="25"/>
  <c r="H194" i="25"/>
  <c r="I194" i="25"/>
  <c r="E195" i="25"/>
  <c r="F195" i="25"/>
  <c r="G195" i="25"/>
  <c r="H195" i="25"/>
  <c r="I195" i="25"/>
  <c r="E196" i="25"/>
  <c r="F196" i="25"/>
  <c r="G196" i="25"/>
  <c r="H196" i="25"/>
  <c r="I196" i="25"/>
  <c r="E197" i="25"/>
  <c r="F197" i="25"/>
  <c r="G197" i="25"/>
  <c r="H197" i="25"/>
  <c r="I197" i="25"/>
  <c r="E198" i="25"/>
  <c r="F198" i="25"/>
  <c r="G198" i="25"/>
  <c r="H198" i="25"/>
  <c r="I198" i="25"/>
  <c r="E199" i="25"/>
  <c r="F199" i="25"/>
  <c r="G199" i="25"/>
  <c r="H199" i="25"/>
  <c r="I199" i="25"/>
  <c r="E200" i="25"/>
  <c r="F200" i="25"/>
  <c r="G200" i="25"/>
  <c r="H200" i="25"/>
  <c r="I200" i="25"/>
  <c r="E201" i="25"/>
  <c r="F201" i="25"/>
  <c r="G201" i="25"/>
  <c r="H201" i="25"/>
  <c r="I201" i="25"/>
  <c r="E202" i="25"/>
  <c r="F202" i="25"/>
  <c r="G202" i="25"/>
  <c r="H202" i="25"/>
  <c r="I202" i="25"/>
  <c r="E203" i="25"/>
  <c r="F203" i="25"/>
  <c r="G203" i="25"/>
  <c r="H203" i="25"/>
  <c r="I203" i="25"/>
  <c r="E204" i="25"/>
  <c r="F204" i="25"/>
  <c r="G204" i="25"/>
  <c r="H204" i="25"/>
  <c r="I204" i="25"/>
  <c r="E205" i="25"/>
  <c r="F205" i="25"/>
  <c r="G205" i="25"/>
  <c r="H205" i="25"/>
  <c r="I205" i="25"/>
  <c r="E206" i="25"/>
  <c r="F206" i="25"/>
  <c r="G206" i="25"/>
  <c r="H206" i="25"/>
  <c r="I206" i="25"/>
  <c r="E207" i="25"/>
  <c r="F207" i="25"/>
  <c r="G207" i="25"/>
  <c r="H207" i="25"/>
  <c r="I207" i="25"/>
  <c r="E208" i="25"/>
  <c r="F208" i="25"/>
  <c r="G208" i="25"/>
  <c r="H208" i="25"/>
  <c r="I208" i="25"/>
  <c r="E209" i="25"/>
  <c r="F209" i="25"/>
  <c r="G209" i="25"/>
  <c r="H209" i="25"/>
  <c r="I209" i="25"/>
  <c r="E210" i="25"/>
  <c r="F210" i="25"/>
  <c r="G210" i="25"/>
  <c r="H210" i="25"/>
  <c r="I210" i="25"/>
  <c r="E211" i="25"/>
  <c r="F211" i="25"/>
  <c r="G211" i="25"/>
  <c r="H211" i="25"/>
  <c r="I211" i="25"/>
  <c r="E212" i="25"/>
  <c r="F212" i="25"/>
  <c r="G212" i="25"/>
  <c r="H212" i="25"/>
  <c r="I212" i="25"/>
  <c r="E213" i="25"/>
  <c r="F213" i="25"/>
  <c r="G213" i="25"/>
  <c r="H213" i="25"/>
  <c r="I213" i="25"/>
  <c r="E214" i="25"/>
  <c r="F214" i="25"/>
  <c r="G214" i="25"/>
  <c r="H214" i="25"/>
  <c r="I214" i="25"/>
  <c r="E215" i="25"/>
  <c r="F215" i="25"/>
  <c r="G215" i="25"/>
  <c r="H215" i="25"/>
  <c r="I215" i="25"/>
  <c r="E216" i="25"/>
  <c r="F216" i="25"/>
  <c r="G216" i="25"/>
  <c r="H216" i="25"/>
  <c r="I216" i="25"/>
  <c r="E217" i="25"/>
  <c r="F217" i="25"/>
  <c r="G217" i="25"/>
  <c r="H217" i="25"/>
  <c r="I217" i="25"/>
  <c r="I3" i="25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53" i="25"/>
  <c r="I154" i="25"/>
  <c r="I155" i="25"/>
  <c r="I156" i="25"/>
  <c r="I157" i="25"/>
  <c r="I158" i="25"/>
  <c r="I159" i="25"/>
  <c r="I160" i="25"/>
  <c r="I161" i="25"/>
  <c r="I162" i="25"/>
  <c r="I163" i="25"/>
  <c r="I164" i="25"/>
  <c r="I165" i="25"/>
  <c r="I166" i="25"/>
  <c r="I167" i="25"/>
  <c r="I168" i="25"/>
  <c r="I169" i="25"/>
  <c r="I170" i="25"/>
  <c r="I171" i="25"/>
  <c r="I172" i="25"/>
  <c r="I173" i="25"/>
  <c r="I174" i="25"/>
  <c r="I175" i="25"/>
  <c r="I176" i="25"/>
  <c r="I177" i="25"/>
  <c r="I178" i="25"/>
  <c r="I179" i="25"/>
  <c r="I180" i="25"/>
  <c r="I181" i="25"/>
  <c r="I2" i="25"/>
  <c r="G3" i="25"/>
  <c r="H3" i="25"/>
  <c r="G4" i="25"/>
  <c r="H4" i="25"/>
  <c r="G5" i="25"/>
  <c r="H5" i="25"/>
  <c r="G6" i="25"/>
  <c r="H6" i="25"/>
  <c r="G7" i="25"/>
  <c r="H7" i="25"/>
  <c r="G8" i="25"/>
  <c r="H8" i="25"/>
  <c r="G9" i="25"/>
  <c r="H9" i="25"/>
  <c r="G10" i="25"/>
  <c r="H10" i="25"/>
  <c r="G11" i="25"/>
  <c r="H11" i="25"/>
  <c r="G12" i="25"/>
  <c r="H12" i="25"/>
  <c r="G13" i="25"/>
  <c r="H13" i="25"/>
  <c r="G14" i="25"/>
  <c r="H14" i="25"/>
  <c r="G15" i="25"/>
  <c r="H15" i="25"/>
  <c r="G16" i="25"/>
  <c r="H16" i="25"/>
  <c r="G17" i="25"/>
  <c r="H17" i="25"/>
  <c r="G18" i="25"/>
  <c r="H18" i="25"/>
  <c r="G19" i="25"/>
  <c r="H19" i="25"/>
  <c r="G20" i="25"/>
  <c r="H20" i="25"/>
  <c r="G21" i="25"/>
  <c r="H21" i="25"/>
  <c r="G22" i="25"/>
  <c r="H22" i="25"/>
  <c r="G23" i="25"/>
  <c r="H23" i="25"/>
  <c r="G24" i="25"/>
  <c r="H24" i="25"/>
  <c r="G25" i="25"/>
  <c r="H25" i="25"/>
  <c r="G26" i="25"/>
  <c r="H26" i="25"/>
  <c r="G27" i="25"/>
  <c r="H27" i="25"/>
  <c r="G28" i="25"/>
  <c r="H28" i="25"/>
  <c r="G29" i="25"/>
  <c r="H29" i="25"/>
  <c r="G30" i="25"/>
  <c r="H30" i="25"/>
  <c r="G31" i="25"/>
  <c r="H31" i="25"/>
  <c r="G32" i="25"/>
  <c r="H32" i="25"/>
  <c r="G33" i="25"/>
  <c r="H33" i="25"/>
  <c r="G34" i="25"/>
  <c r="H34" i="25"/>
  <c r="G35" i="25"/>
  <c r="H35" i="25"/>
  <c r="G36" i="25"/>
  <c r="H36" i="25"/>
  <c r="G37" i="25"/>
  <c r="H37" i="25"/>
  <c r="G38" i="25"/>
  <c r="H38" i="25"/>
  <c r="G39" i="25"/>
  <c r="H39" i="25"/>
  <c r="G40" i="25"/>
  <c r="H40" i="25"/>
  <c r="G41" i="25"/>
  <c r="H41" i="25"/>
  <c r="G42" i="25"/>
  <c r="H42" i="25"/>
  <c r="G43" i="25"/>
  <c r="H43" i="25"/>
  <c r="G44" i="25"/>
  <c r="H44" i="25"/>
  <c r="G45" i="25"/>
  <c r="H45" i="25"/>
  <c r="G46" i="25"/>
  <c r="H46" i="25"/>
  <c r="G47" i="25"/>
  <c r="H47" i="25"/>
  <c r="G48" i="25"/>
  <c r="H48" i="25"/>
  <c r="G49" i="25"/>
  <c r="H49" i="25"/>
  <c r="G50" i="25"/>
  <c r="H50" i="25"/>
  <c r="G51" i="25"/>
  <c r="H51" i="25"/>
  <c r="G52" i="25"/>
  <c r="H52" i="25"/>
  <c r="G53" i="25"/>
  <c r="H53" i="25"/>
  <c r="G54" i="25"/>
  <c r="H54" i="25"/>
  <c r="G55" i="25"/>
  <c r="H55" i="25"/>
  <c r="G56" i="25"/>
  <c r="H56" i="25"/>
  <c r="G57" i="25"/>
  <c r="H57" i="25"/>
  <c r="G58" i="25"/>
  <c r="H58" i="25"/>
  <c r="G59" i="25"/>
  <c r="H59" i="25"/>
  <c r="G60" i="25"/>
  <c r="H60" i="25"/>
  <c r="G61" i="25"/>
  <c r="H61" i="25"/>
  <c r="G62" i="25"/>
  <c r="H62" i="25"/>
  <c r="G63" i="25"/>
  <c r="H63" i="25"/>
  <c r="G64" i="25"/>
  <c r="H64" i="25"/>
  <c r="G65" i="25"/>
  <c r="H65" i="25"/>
  <c r="G66" i="25"/>
  <c r="H66" i="25"/>
  <c r="G67" i="25"/>
  <c r="H67" i="25"/>
  <c r="G68" i="25"/>
  <c r="H68" i="25"/>
  <c r="G69" i="25"/>
  <c r="H69" i="25"/>
  <c r="G70" i="25"/>
  <c r="H70" i="25"/>
  <c r="G71" i="25"/>
  <c r="H71" i="25"/>
  <c r="G72" i="25"/>
  <c r="H72" i="25"/>
  <c r="G73" i="25"/>
  <c r="H73" i="25"/>
  <c r="G74" i="25"/>
  <c r="H74" i="25"/>
  <c r="G75" i="25"/>
  <c r="H75" i="25"/>
  <c r="G76" i="25"/>
  <c r="H76" i="25"/>
  <c r="G77" i="25"/>
  <c r="H77" i="25"/>
  <c r="G78" i="25"/>
  <c r="H78" i="25"/>
  <c r="G79" i="25"/>
  <c r="H79" i="25"/>
  <c r="G80" i="25"/>
  <c r="H80" i="25"/>
  <c r="G81" i="25"/>
  <c r="H81" i="25"/>
  <c r="G82" i="25"/>
  <c r="H82" i="25"/>
  <c r="G83" i="25"/>
  <c r="H83" i="25"/>
  <c r="G84" i="25"/>
  <c r="H84" i="25"/>
  <c r="G85" i="25"/>
  <c r="H85" i="25"/>
  <c r="G86" i="25"/>
  <c r="H86" i="25"/>
  <c r="G87" i="25"/>
  <c r="H87" i="25"/>
  <c r="G88" i="25"/>
  <c r="H88" i="25"/>
  <c r="G89" i="25"/>
  <c r="H89" i="25"/>
  <c r="G90" i="25"/>
  <c r="H90" i="25"/>
  <c r="G91" i="25"/>
  <c r="H91" i="25"/>
  <c r="G92" i="25"/>
  <c r="H92" i="25"/>
  <c r="G93" i="25"/>
  <c r="H93" i="25"/>
  <c r="G94" i="25"/>
  <c r="H94" i="25"/>
  <c r="G95" i="25"/>
  <c r="H95" i="25"/>
  <c r="G96" i="25"/>
  <c r="H96" i="25"/>
  <c r="G97" i="25"/>
  <c r="H97" i="25"/>
  <c r="G98" i="25"/>
  <c r="H98" i="25"/>
  <c r="G99" i="25"/>
  <c r="H99" i="25"/>
  <c r="G100" i="25"/>
  <c r="H100" i="25"/>
  <c r="G101" i="25"/>
  <c r="H101" i="25"/>
  <c r="G102" i="25"/>
  <c r="H102" i="25"/>
  <c r="G103" i="25"/>
  <c r="H103" i="25"/>
  <c r="G104" i="25"/>
  <c r="H104" i="25"/>
  <c r="G105" i="25"/>
  <c r="H105" i="25"/>
  <c r="G106" i="25"/>
  <c r="H106" i="25"/>
  <c r="G107" i="25"/>
  <c r="H107" i="25"/>
  <c r="G108" i="25"/>
  <c r="H108" i="25"/>
  <c r="G109" i="25"/>
  <c r="H109" i="25"/>
  <c r="G110" i="25"/>
  <c r="H110" i="25"/>
  <c r="G111" i="25"/>
  <c r="H111" i="25"/>
  <c r="G112" i="25"/>
  <c r="H112" i="25"/>
  <c r="G113" i="25"/>
  <c r="H113" i="25"/>
  <c r="G114" i="25"/>
  <c r="H114" i="25"/>
  <c r="G115" i="25"/>
  <c r="H115" i="25"/>
  <c r="G116" i="25"/>
  <c r="H116" i="25"/>
  <c r="G117" i="25"/>
  <c r="H117" i="25"/>
  <c r="G118" i="25"/>
  <c r="H118" i="25"/>
  <c r="G119" i="25"/>
  <c r="H119" i="25"/>
  <c r="G120" i="25"/>
  <c r="H120" i="25"/>
  <c r="G121" i="25"/>
  <c r="H121" i="25"/>
  <c r="G122" i="25"/>
  <c r="H122" i="25"/>
  <c r="G123" i="25"/>
  <c r="H123" i="25"/>
  <c r="G124" i="25"/>
  <c r="H124" i="25"/>
  <c r="G125" i="25"/>
  <c r="H125" i="25"/>
  <c r="G126" i="25"/>
  <c r="H126" i="25"/>
  <c r="G127" i="25"/>
  <c r="H127" i="25"/>
  <c r="G128" i="25"/>
  <c r="H128" i="25"/>
  <c r="G129" i="25"/>
  <c r="H129" i="25"/>
  <c r="G130" i="25"/>
  <c r="H130" i="25"/>
  <c r="G131" i="25"/>
  <c r="H131" i="25"/>
  <c r="G132" i="25"/>
  <c r="H132" i="25"/>
  <c r="G133" i="25"/>
  <c r="H133" i="25"/>
  <c r="G134" i="25"/>
  <c r="H134" i="25"/>
  <c r="G135" i="25"/>
  <c r="H135" i="25"/>
  <c r="G136" i="25"/>
  <c r="H136" i="25"/>
  <c r="G137" i="25"/>
  <c r="H137" i="25"/>
  <c r="G138" i="25"/>
  <c r="H138" i="25"/>
  <c r="G139" i="25"/>
  <c r="H139" i="25"/>
  <c r="G140" i="25"/>
  <c r="H140" i="25"/>
  <c r="G141" i="25"/>
  <c r="H141" i="25"/>
  <c r="G142" i="25"/>
  <c r="H142" i="25"/>
  <c r="G143" i="25"/>
  <c r="H143" i="25"/>
  <c r="G144" i="25"/>
  <c r="H144" i="25"/>
  <c r="G145" i="25"/>
  <c r="H145" i="25"/>
  <c r="G146" i="25"/>
  <c r="H146" i="25"/>
  <c r="G147" i="25"/>
  <c r="H147" i="25"/>
  <c r="G148" i="25"/>
  <c r="H148" i="25"/>
  <c r="G149" i="25"/>
  <c r="H149" i="25"/>
  <c r="G150" i="25"/>
  <c r="H150" i="25"/>
  <c r="G151" i="25"/>
  <c r="H151" i="25"/>
  <c r="G152" i="25"/>
  <c r="H152" i="25"/>
  <c r="G153" i="25"/>
  <c r="H153" i="25"/>
  <c r="G154" i="25"/>
  <c r="H154" i="25"/>
  <c r="G155" i="25"/>
  <c r="H155" i="25"/>
  <c r="G156" i="25"/>
  <c r="H156" i="25"/>
  <c r="G157" i="25"/>
  <c r="H157" i="25"/>
  <c r="G158" i="25"/>
  <c r="H158" i="25"/>
  <c r="G159" i="25"/>
  <c r="H159" i="25"/>
  <c r="G160" i="25"/>
  <c r="H160" i="25"/>
  <c r="G161" i="25"/>
  <c r="H161" i="25"/>
  <c r="G162" i="25"/>
  <c r="H162" i="25"/>
  <c r="G163" i="25"/>
  <c r="H163" i="25"/>
  <c r="G164" i="25"/>
  <c r="H164" i="25"/>
  <c r="G165" i="25"/>
  <c r="H165" i="25"/>
  <c r="G166" i="25"/>
  <c r="H166" i="25"/>
  <c r="G167" i="25"/>
  <c r="H167" i="25"/>
  <c r="G168" i="25"/>
  <c r="H168" i="25"/>
  <c r="G169" i="25"/>
  <c r="H169" i="25"/>
  <c r="G170" i="25"/>
  <c r="H170" i="25"/>
  <c r="G171" i="25"/>
  <c r="H171" i="25"/>
  <c r="G172" i="25"/>
  <c r="H172" i="25"/>
  <c r="G173" i="25"/>
  <c r="H173" i="25"/>
  <c r="G174" i="25"/>
  <c r="H174" i="25"/>
  <c r="G175" i="25"/>
  <c r="H175" i="25"/>
  <c r="G176" i="25"/>
  <c r="H176" i="25"/>
  <c r="G177" i="25"/>
  <c r="H177" i="25"/>
  <c r="G178" i="25"/>
  <c r="H178" i="25"/>
  <c r="G179" i="25"/>
  <c r="H179" i="25"/>
  <c r="G180" i="25"/>
  <c r="H180" i="25"/>
  <c r="G181" i="25"/>
  <c r="H181" i="25"/>
  <c r="H2" i="25"/>
  <c r="G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111" i="25"/>
  <c r="F112" i="25"/>
  <c r="F113" i="25"/>
  <c r="F114" i="25"/>
  <c r="F115" i="25"/>
  <c r="F116" i="25"/>
  <c r="F117" i="25"/>
  <c r="F118" i="25"/>
  <c r="F119" i="25"/>
  <c r="F120" i="25"/>
  <c r="F121" i="25"/>
  <c r="F122" i="25"/>
  <c r="F123" i="25"/>
  <c r="F124" i="25"/>
  <c r="F125" i="25"/>
  <c r="F126" i="25"/>
  <c r="F127" i="25"/>
  <c r="F128" i="25"/>
  <c r="F129" i="25"/>
  <c r="F130" i="25"/>
  <c r="F131" i="25"/>
  <c r="F132" i="25"/>
  <c r="F133" i="25"/>
  <c r="F134" i="25"/>
  <c r="F135" i="25"/>
  <c r="F136" i="25"/>
  <c r="F137" i="25"/>
  <c r="F138" i="25"/>
  <c r="F139" i="25"/>
  <c r="F140" i="25"/>
  <c r="F141" i="25"/>
  <c r="F142" i="25"/>
  <c r="F143" i="25"/>
  <c r="F144" i="25"/>
  <c r="F145" i="25"/>
  <c r="F146" i="25"/>
  <c r="F147" i="25"/>
  <c r="F148" i="25"/>
  <c r="F149" i="25"/>
  <c r="F150" i="25"/>
  <c r="F151" i="25"/>
  <c r="F152" i="25"/>
  <c r="F153" i="25"/>
  <c r="F154" i="25"/>
  <c r="F155" i="25"/>
  <c r="F156" i="25"/>
  <c r="F157" i="25"/>
  <c r="F158" i="25"/>
  <c r="F159" i="25"/>
  <c r="F160" i="25"/>
  <c r="F161" i="25"/>
  <c r="F162" i="25"/>
  <c r="F163" i="25"/>
  <c r="F164" i="25"/>
  <c r="F165" i="25"/>
  <c r="F166" i="25"/>
  <c r="F167" i="25"/>
  <c r="F168" i="25"/>
  <c r="F169" i="25"/>
  <c r="F170" i="25"/>
  <c r="F171" i="25"/>
  <c r="F172" i="25"/>
  <c r="F173" i="25"/>
  <c r="F174" i="25"/>
  <c r="F175" i="25"/>
  <c r="F176" i="25"/>
  <c r="F177" i="25"/>
  <c r="F178" i="25"/>
  <c r="F179" i="25"/>
  <c r="F180" i="25"/>
  <c r="F181" i="25"/>
  <c r="F2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2" i="25"/>
  <c r="K46" i="1"/>
  <c r="K47" i="1"/>
  <c r="K48" i="1"/>
  <c r="K49" i="1"/>
  <c r="K50" i="1"/>
  <c r="K51" i="1"/>
  <c r="K5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2" i="1"/>
  <c r="J208" i="25" l="1"/>
  <c r="J202" i="25"/>
  <c r="J189" i="25"/>
  <c r="J188" i="25"/>
  <c r="J204" i="25"/>
  <c r="J213" i="25"/>
  <c r="J209" i="25"/>
  <c r="J190" i="25"/>
  <c r="J212" i="25"/>
  <c r="J214" i="25"/>
  <c r="J211" i="25"/>
  <c r="J197" i="25"/>
  <c r="J206" i="25"/>
  <c r="J184" i="25"/>
  <c r="J196" i="25"/>
  <c r="J198" i="25"/>
  <c r="J215" i="25"/>
  <c r="J191" i="25"/>
  <c r="J203" i="25"/>
  <c r="J216" i="25"/>
  <c r="J185" i="25"/>
  <c r="J195" i="25"/>
  <c r="J186" i="25"/>
  <c r="J217" i="25"/>
  <c r="J210" i="25"/>
  <c r="J199" i="25"/>
  <c r="J192" i="25"/>
  <c r="J182" i="25"/>
  <c r="J207" i="25"/>
  <c r="J200" i="25"/>
  <c r="J193" i="25"/>
  <c r="J201" i="25"/>
  <c r="J194" i="25"/>
  <c r="J183" i="25"/>
  <c r="J205" i="25"/>
  <c r="J187" i="25"/>
  <c r="J178" i="25"/>
  <c r="J170" i="25"/>
  <c r="J162" i="25"/>
  <c r="J154" i="25"/>
  <c r="J146" i="25"/>
  <c r="J138" i="25"/>
  <c r="J130" i="25"/>
  <c r="J122" i="25"/>
  <c r="J114" i="25"/>
  <c r="J106" i="25"/>
  <c r="J98" i="25"/>
  <c r="J90" i="25"/>
  <c r="J82" i="25"/>
  <c r="J74" i="25"/>
  <c r="J66" i="25"/>
  <c r="J58" i="25"/>
  <c r="J50" i="25"/>
  <c r="J42" i="25"/>
  <c r="J34" i="25"/>
  <c r="J26" i="25"/>
  <c r="J18" i="25"/>
  <c r="J10" i="25"/>
  <c r="J177" i="25"/>
  <c r="J169" i="25"/>
  <c r="J161" i="25"/>
  <c r="J153" i="25"/>
  <c r="J145" i="25"/>
  <c r="J137" i="25"/>
  <c r="J129" i="25"/>
  <c r="J121" i="25"/>
  <c r="J113" i="25"/>
  <c r="J105" i="25"/>
  <c r="J97" i="25"/>
  <c r="J89" i="25"/>
  <c r="J81" i="25"/>
  <c r="J73" i="25"/>
  <c r="J65" i="25"/>
  <c r="J57" i="25"/>
  <c r="J49" i="25"/>
  <c r="J41" i="25"/>
  <c r="J33" i="25"/>
  <c r="J25" i="25"/>
  <c r="J17" i="25"/>
  <c r="J9" i="25"/>
  <c r="J175" i="25"/>
  <c r="J151" i="25"/>
  <c r="J127" i="25"/>
  <c r="J119" i="25"/>
  <c r="J111" i="25"/>
  <c r="J103" i="25"/>
  <c r="J95" i="25"/>
  <c r="J87" i="25"/>
  <c r="J79" i="25"/>
  <c r="J71" i="25"/>
  <c r="J63" i="25"/>
  <c r="J55" i="25"/>
  <c r="J47" i="25"/>
  <c r="J39" i="25"/>
  <c r="J31" i="25"/>
  <c r="J23" i="25"/>
  <c r="J15" i="25"/>
  <c r="J7" i="25"/>
  <c r="J143" i="25"/>
  <c r="J2" i="25"/>
  <c r="J174" i="25"/>
  <c r="J166" i="25"/>
  <c r="J158" i="25"/>
  <c r="J150" i="25"/>
  <c r="J142" i="25"/>
  <c r="J134" i="25"/>
  <c r="J126" i="25"/>
  <c r="J118" i="25"/>
  <c r="J110" i="25"/>
  <c r="J102" i="25"/>
  <c r="J94" i="25"/>
  <c r="J86" i="25"/>
  <c r="J78" i="25"/>
  <c r="J70" i="25"/>
  <c r="J62" i="25"/>
  <c r="J54" i="25"/>
  <c r="J46" i="25"/>
  <c r="J38" i="25"/>
  <c r="J30" i="25"/>
  <c r="J22" i="25"/>
  <c r="J14" i="25"/>
  <c r="J6" i="25"/>
  <c r="J135" i="25"/>
  <c r="J181" i="25"/>
  <c r="J173" i="25"/>
  <c r="J165" i="25"/>
  <c r="J157" i="25"/>
  <c r="J149" i="25"/>
  <c r="J141" i="25"/>
  <c r="J133" i="25"/>
  <c r="J125" i="25"/>
  <c r="J117" i="25"/>
  <c r="J109" i="25"/>
  <c r="J101" i="25"/>
  <c r="J93" i="25"/>
  <c r="J85" i="25"/>
  <c r="J77" i="25"/>
  <c r="J69" i="25"/>
  <c r="J61" i="25"/>
  <c r="J53" i="25"/>
  <c r="J45" i="25"/>
  <c r="J37" i="25"/>
  <c r="J29" i="25"/>
  <c r="J21" i="25"/>
  <c r="J13" i="25"/>
  <c r="J5" i="25"/>
  <c r="J167" i="25"/>
  <c r="J180" i="25"/>
  <c r="J172" i="25"/>
  <c r="J164" i="25"/>
  <c r="J156" i="25"/>
  <c r="J148" i="25"/>
  <c r="J140" i="25"/>
  <c r="J132" i="25"/>
  <c r="J124" i="25"/>
  <c r="J116" i="25"/>
  <c r="J108" i="25"/>
  <c r="J100" i="25"/>
  <c r="J92" i="25"/>
  <c r="J84" i="25"/>
  <c r="J76" i="25"/>
  <c r="J68" i="25"/>
  <c r="J60" i="25"/>
  <c r="J52" i="25"/>
  <c r="J44" i="25"/>
  <c r="J36" i="25"/>
  <c r="J28" i="25"/>
  <c r="J20" i="25"/>
  <c r="J12" i="25"/>
  <c r="J4" i="25"/>
  <c r="J159" i="25"/>
  <c r="J40" i="25"/>
  <c r="J179" i="25"/>
  <c r="J171" i="25"/>
  <c r="J163" i="25"/>
  <c r="J155" i="25"/>
  <c r="J147" i="25"/>
  <c r="J139" i="25"/>
  <c r="J131" i="25"/>
  <c r="J123" i="25"/>
  <c r="J115" i="25"/>
  <c r="J107" i="25"/>
  <c r="J99" i="25"/>
  <c r="J91" i="25"/>
  <c r="J83" i="25"/>
  <c r="J75" i="25"/>
  <c r="J67" i="25"/>
  <c r="J59" i="25"/>
  <c r="J51" i="25"/>
  <c r="J43" i="25"/>
  <c r="J35" i="25"/>
  <c r="J27" i="25"/>
  <c r="J19" i="25"/>
  <c r="J11" i="25"/>
  <c r="J3" i="25"/>
  <c r="J160" i="25"/>
  <c r="J120" i="25"/>
  <c r="J64" i="25"/>
  <c r="J48" i="25"/>
  <c r="J152" i="25"/>
  <c r="J32" i="25"/>
  <c r="J104" i="25"/>
  <c r="J24" i="25"/>
  <c r="J176" i="25"/>
  <c r="J136" i="25"/>
  <c r="J88" i="25"/>
  <c r="J16" i="25"/>
  <c r="J144" i="25"/>
  <c r="J112" i="25"/>
  <c r="J72" i="25"/>
  <c r="J8" i="25"/>
  <c r="J168" i="25"/>
  <c r="J96" i="25"/>
  <c r="J56" i="25"/>
  <c r="J128" i="25"/>
  <c r="J80" i="25"/>
</calcChain>
</file>

<file path=xl/sharedStrings.xml><?xml version="1.0" encoding="utf-8"?>
<sst xmlns="http://schemas.openxmlformats.org/spreadsheetml/2006/main" count="10585" uniqueCount="395">
  <si>
    <t>run</t>
  </si>
  <si>
    <t>layout_name</t>
  </si>
  <si>
    <t>slide_header</t>
  </si>
  <si>
    <t>title</t>
  </si>
  <si>
    <t>subtitle</t>
  </si>
  <si>
    <t>subtitle_desc</t>
  </si>
  <si>
    <t>chart_1</t>
  </si>
  <si>
    <t>chart_2</t>
  </si>
  <si>
    <t>footnote</t>
  </si>
  <si>
    <t>.</t>
  </si>
  <si>
    <t>master_name</t>
  </si>
  <si>
    <t>element_name</t>
  </si>
  <si>
    <t>shape_index</t>
  </si>
  <si>
    <t>text</t>
  </si>
  <si>
    <t>to_slide</t>
  </si>
  <si>
    <t>chart_data</t>
  </si>
  <si>
    <t>image_link</t>
  </si>
  <si>
    <t>New beginings</t>
  </si>
  <si>
    <t>One of these days we will have a new begining</t>
  </si>
  <si>
    <t xml:space="preserve">But will figure out.	</t>
  </si>
  <si>
    <t>And how</t>
  </si>
  <si>
    <t xml:space="preserve">Is we do not know	</t>
  </si>
  <si>
    <t>mdeaths</t>
  </si>
  <si>
    <t>fdeaths</t>
  </si>
  <si>
    <t>chart_data_dict</t>
  </si>
  <si>
    <t>color_hex</t>
  </si>
  <si>
    <t>color_rgb</t>
  </si>
  <si>
    <t>#000000</t>
  </si>
  <si>
    <t>y</t>
  </si>
  <si>
    <t>#8497B0</t>
  </si>
  <si>
    <t>#01387B</t>
  </si>
  <si>
    <t>#0299F4</t>
  </si>
  <si>
    <t>{'x': ['days_on_therapy'],
'y': ['brand'],
'value': ['value'],
'chartTitle': '',
'xAxisTitle': [''],
'yAxisTitle': ['']}</t>
  </si>
  <si>
    <t>home_1</t>
  </si>
  <si>
    <t>Automation testing on slides</t>
  </si>
  <si>
    <t>xyv_multiline</t>
  </si>
  <si>
    <t>214, 39, 40</t>
  </si>
  <si>
    <t>31, 119, 180</t>
  </si>
  <si>
    <t>xy_hr_bar</t>
  </si>
  <si>
    <t>xy_hr_bar.csv</t>
  </si>
  <si>
    <t>Multichart test</t>
  </si>
  <si>
    <t>2+2</t>
  </si>
  <si>
    <t>blended charts</t>
  </si>
  <si>
    <t>2 info in one</t>
  </si>
  <si>
    <t>abc</t>
  </si>
  <si>
    <t>Drug A</t>
  </si>
  <si>
    <t>Drug B</t>
  </si>
  <si>
    <t>Drug C</t>
  </si>
  <si>
    <t>New</t>
  </si>
  <si>
    <t>Old</t>
  </si>
  <si>
    <t>Mature</t>
  </si>
  <si>
    <t>xyv_stacked_bar.csv</t>
  </si>
  <si>
    <t>stacked bar test</t>
  </si>
  <si>
    <t>staytime</t>
  </si>
  <si>
    <t>Remaining</t>
  </si>
  <si>
    <t>x</t>
  </si>
  <si>
    <t>value</t>
  </si>
  <si>
    <t>2, 153, 244</t>
  </si>
  <si>
    <t>1, 56, 123</t>
  </si>
  <si>
    <t>132, 151, 176</t>
  </si>
  <si>
    <t>{'x': ['drug'],
'y': ['staytime'],
'chartTitle': '12 mth stdy',
'xAxisTitle': [''],
'yAxisTitle': ['']}</t>
  </si>
  <si>
    <t>xyv_multiline.csv</t>
  </si>
  <si>
    <t>Day 0</t>
  </si>
  <si>
    <t>Day 30</t>
  </si>
  <si>
    <t>Day 60</t>
  </si>
  <si>
    <t>Day 90</t>
  </si>
  <si>
    <t>Day 120</t>
  </si>
  <si>
    <t>Day 150</t>
  </si>
  <si>
    <t>Day 180</t>
  </si>
  <si>
    <t>Day 210</t>
  </si>
  <si>
    <t>Day 240</t>
  </si>
  <si>
    <t>Day 270</t>
  </si>
  <si>
    <t>Day 300</t>
  </si>
  <si>
    <t>Day 330</t>
  </si>
  <si>
    <t>Day 360</t>
  </si>
  <si>
    <t>Feature</t>
  </si>
  <si>
    <t>Priority</t>
  </si>
  <si>
    <t>Low</t>
  </si>
  <si>
    <t>Impact</t>
  </si>
  <si>
    <t>High</t>
  </si>
  <si>
    <t>Customize master slides with alpha for consistent theme.</t>
  </si>
  <si>
    <t>Status</t>
  </si>
  <si>
    <t>Open</t>
  </si>
  <si>
    <t>Charts formatting override.</t>
  </si>
  <si>
    <t>Close</t>
  </si>
  <si>
    <t>Complexity</t>
  </si>
  <si>
    <t>Date</t>
  </si>
  <si>
    <t>Total</t>
  </si>
  <si>
    <t>Happy</t>
  </si>
  <si>
    <t>Spring</t>
  </si>
  <si>
    <t>#d95f0e</t>
  </si>
  <si>
    <t xml:space="preserve">	217, 95, 14</t>
  </si>
  <si>
    <t xml:space="preserve">	0, 0, 0</t>
  </si>
  <si>
    <t>Percentage Values</t>
  </si>
  <si>
    <t>2c_overlap</t>
  </si>
  <si>
    <t>2c_compare</t>
  </si>
  <si>
    <t>xyv_stacked_bar_2x</t>
  </si>
  <si>
    <t>High 2x</t>
  </si>
  <si>
    <t>Multiple charts same macro with variation on same slide.</t>
  </si>
  <si>
    <t xml:space="preserve">	#2A918B</t>
  </si>
  <si>
    <t>{'x': ['date'],
'y': ['source'],
'value': ['nbr_of_patients'],
'chartTitle': ' ',
'xAxisTitle': [''],
'yAxisTitle': [''],
'sort_array': ''}</t>
  </si>
  <si>
    <t>{'x': ['date'],
'y': ['source'],
'value': ['nbr_of_patients'],
'chartTitle': ' ',
'xAxisTitle': [''],
'yAxisTitle': [''],
'sort_array': ['New', 'Old']}</t>
  </si>
  <si>
    <t>{'x': ['date'],
'y': ['source'],
'value': ['nbr_of_patients'],
'chartTitle': ' ',
'xAxisTitle': [''],
'yAxisTitle': [''],
'sort_array': ['']}</t>
  </si>
  <si>
    <t>Master slide with all running examples and it's shadow in visual library comparing master against output.</t>
  </si>
  <si>
    <t>Document standards in docs</t>
  </si>
  <si>
    <t>xyv_stacked_bar</t>
  </si>
  <si>
    <t>ASCVD</t>
  </si>
  <si>
    <t>T2D</t>
  </si>
  <si>
    <t>Depression</t>
  </si>
  <si>
    <t>Osteoarthritis</t>
  </si>
  <si>
    <t>Hypertension</t>
  </si>
  <si>
    <t>Back pain</t>
  </si>
  <si>
    <t>23 ORCs</t>
  </si>
  <si>
    <t>High_Cost</t>
  </si>
  <si>
    <t>22 ORCS</t>
  </si>
  <si>
    <t>Low_Cost</t>
  </si>
  <si>
    <t>Bug</t>
  </si>
  <si>
    <t>#</t>
  </si>
  <si>
    <t>The autoselect is for column y unless it's len is 1, this may not be fitting in some scenarios, yet to encounter one however a serious loophole</t>
  </si>
  <si>
    <t>Idea</t>
  </si>
  <si>
    <t>Program that gives options around different versions of a particular chart based on the # value</t>
  </si>
  <si>
    <t>Low 2x</t>
  </si>
  <si>
    <t>pc</t>
  </si>
  <si>
    <t>drug</t>
  </si>
  <si>
    <t>z</t>
  </si>
  <si>
    <t>Drug E</t>
  </si>
  <si>
    <t>chart_hash</t>
  </si>
  <si>
    <t>Switch to .py in case vba macro does not work or not satisfactory.</t>
  </si>
  <si>
    <t>py_override</t>
  </si>
  <si>
    <t>1c1i_overlap</t>
  </si>
  <si>
    <t>picture_1</t>
  </si>
  <si>
    <t>Add warning before closing existing excel powerpoint.</t>
  </si>
  <si>
    <t>xyz_hr_bar</t>
  </si>
  <si>
    <t>Description</t>
  </si>
  <si>
    <t>Type</t>
  </si>
  <si>
    <t>chart .py override</t>
  </si>
  <si>
    <t>Horizontal bar chart for staytime with K values.</t>
  </si>
  <si>
    <t>xyz_hr_bar_k</t>
  </si>
  <si>
    <t>xyz_hr_bar_k.csv</t>
  </si>
  <si>
    <t>1chart</t>
  </si>
  <si>
    <t>sankey_6f</t>
  </si>
  <si>
    <t>slide_nbr</t>
  </si>
  <si>
    <t>line</t>
  </si>
  <si>
    <t>flag</t>
  </si>
  <si>
    <t>slide_header_box</t>
  </si>
  <si>
    <t>flow_alluvial_plot_6f.png</t>
  </si>
  <si>
    <t>Image not getting place properly in placeholders, truncation and distortion.</t>
  </si>
  <si>
    <t>loop changes made to latest slide text back into new deck</t>
  </si>
  <si>
    <t>Just legend for values.</t>
  </si>
  <si>
    <t>{'x': ['days_on_therapy'],
'y': ['brand'],
'value': ['value'],
'chartTitle': '',
'xAxisTitle': [''],
'yAxisTitle': ['% of patients'],
'xtitle_font_size': 10,
'xtick_label_font_size': 9,
'ytitle_font_size': 10,
'ytick_label_font_size': 9,
'series_label_font_size': 9,
'legend_font_size': 9,
'averageEntryWidth': 65,
'series_weight': 1.2,
'special_series_weight': 1.9,
'special_series_name': [''],
'marker_size': 6,
'chart_width': 560,
'chart_height': 280,
'axis_line_weight': 0.75}</t>
  </si>
  <si>
    <t>{'x': ['drug'],
'y': ['staytime'],
'z': ['pc'],
'chartTitle': ' xyz_hr_bar',
'studyPeriod': 12,
'chart_width': 5,
'chart_height': 2, 'chart_title_font_size': 16,
'series_label_font_size': 12,
'special_series_name': [''],
'special_series_label_font_size': 12,
'xtick_label_font_size': 12,
'k_value_font_size': 11}</t>
  </si>
  <si>
    <t>slide_hash</t>
  </si>
  <si>
    <t>{'x': ['drug'],
'y': ['staytime'],
'z': ['pc'],
'chartTitle': ' xyz_hr_bar',
'chart_title_color': '#00165E',
'studyPeriod': 12,
'chart_width': 5,
'chart_height': 2, 'chart_title_font_size': 16,
'series_label_font_size': 12,
'special_series_name': [''],
'special_series_label_font_size': 12,
'xtick_label_font_size': 12,
'xtick_label_color': '#00165E',
'k_value_font_size': 12,
'k_value_color': '#00165E'}</t>
  </si>
  <si>
    <t>Default</t>
  </si>
  <si>
    <t>3 types of uses (Batch, ad-hoc, explore)</t>
  </si>
  <si>
    <t>Testing</t>
  </si>
  <si>
    <t>Different format types in stacked bar charts</t>
  </si>
  <si>
    <t>focus_in</t>
  </si>
  <si>
    <t>{'x': ['date'],
'y': ['source'],
'value': ['nbr_of_patients'],
'xAxisTitle': [''],
'yAxisTitle': [''],
'xtick_label_font_size': 7,
'series_label_font_size': 7,
'label_format': "0%",
'total_format': "[&gt;=1000]#,##0,K;#",
'legend_font_size': 9,
'legend_visible': 'True',
'bar_width': 80,
'chart_width': 370,
'chart_height': 260,
'sort_array': ['']}</t>
  </si>
  <si>
    <t>{'x': ['date'],
'y': ['source'],
'value': ['nbr_of_patients'],
'xAxisTitle': [''],
'yAxisTitle': [''],
'xtick_label_font_size': 7,
'series_label_font_size': 7,
'label_format': "0%",
'total_format': "[&gt;=1000]#,##0,K;#",
'legend_font_size': 9,
'legend_visible': 'True',
'bar_width': 80,
'chart_width': 370,
'chart_height': 260,
'sort_array': ['New', 'Old']}</t>
  </si>
  <si>
    <t>2c_1l_compare</t>
  </si>
  <si>
    <t>legend_1</t>
  </si>
  <si>
    <t>xyv_stacked_bar_legend</t>
  </si>
  <si>
    <t>2 charts with separate legend</t>
  </si>
  <si>
    <t>testing</t>
  </si>
  <si>
    <t>{'x': ['date'],
'y': ['source'],
'value': ['nbr_of_patients'],
'chartTitle': ' ',
'xAxisTitle': [''],
'yAxisTitle': [''],
'sort_array': ['New', 'Old']}</t>
  </si>
  <si>
    <t>{'x': ['date'],
'y': ['source'],
'value': ['nbr_of_patients'],
'chartTitle': ' ',
'xAxisTitle': [''],
'yAxisTitle': [''],
'sort_array': ['']}</t>
  </si>
  <si>
    <t>{'x': ['date'],
'y': ['source'],
'value': ['nbr_of_patients'],
'legend_font_size': 10,
'legend_visible': 'True',
'chart_width': 100,
'chart_height': 100,
'sort_array': ['New', 'Old', 'Mature']}</t>
  </si>
  <si>
    <t>source</t>
  </si>
  <si>
    <t>target</t>
  </si>
  <si>
    <t>Fill1_NoFill</t>
  </si>
  <si>
    <t>Fill2_NoFill</t>
  </si>
  <si>
    <t>Fill2_0.8MG</t>
  </si>
  <si>
    <t>Fill2_1.2MG</t>
  </si>
  <si>
    <t>Fill2_1.7MG</t>
  </si>
  <si>
    <t>Fill2_2.4MG</t>
  </si>
  <si>
    <t>Fill2_3.0MG</t>
  </si>
  <si>
    <t>Fill1_0.8MG</t>
  </si>
  <si>
    <t>Fill1_1.2MG</t>
  </si>
  <si>
    <t>Fill1_1.7MG</t>
  </si>
  <si>
    <t>Fill1_2.4MG</t>
  </si>
  <si>
    <t>Fill1_3.0MG</t>
  </si>
  <si>
    <t>Fill3_NoFill</t>
  </si>
  <si>
    <t>Fill3_0.8MG</t>
  </si>
  <si>
    <t>Fill3_1.2MG</t>
  </si>
  <si>
    <t>Fill3_1.7MG</t>
  </si>
  <si>
    <t>Fill3_2.4MG</t>
  </si>
  <si>
    <t>Fill3_3.0MG</t>
  </si>
  <si>
    <t>Fill4_NoFill</t>
  </si>
  <si>
    <t>Fill4_0.8MG</t>
  </si>
  <si>
    <t>Fill4_1.2MG</t>
  </si>
  <si>
    <t>Fill4_1.7MG</t>
  </si>
  <si>
    <t>Fill4_2.4MG</t>
  </si>
  <si>
    <t>Fill4_3.0MG</t>
  </si>
  <si>
    <t>Fill5_NoFill</t>
  </si>
  <si>
    <t>Fill5_0.8MG</t>
  </si>
  <si>
    <t>Fill5_1.2MG</t>
  </si>
  <si>
    <t>Fill5_1.7MG</t>
  </si>
  <si>
    <t>Fill5_2.4MG</t>
  </si>
  <si>
    <t>Fill5_3.0MG</t>
  </si>
  <si>
    <t>Fill6_NoFill</t>
  </si>
  <si>
    <t>Fill6_0.8MG</t>
  </si>
  <si>
    <t>Fill6_1.2MG</t>
  </si>
  <si>
    <t>Fill6_1.7MG</t>
  </si>
  <si>
    <t>Fill6_2.4MG</t>
  </si>
  <si>
    <t>Fill6_3.0MG</t>
  </si>
  <si>
    <t>Source Bar</t>
  </si>
  <si>
    <t>SourceCategory</t>
  </si>
  <si>
    <t>Target Bar</t>
  </si>
  <si>
    <t>TargetCategory</t>
  </si>
  <si>
    <t>Fill1</t>
  </si>
  <si>
    <t>Fill2</t>
  </si>
  <si>
    <t>Fill3</t>
  </si>
  <si>
    <t>Fill4</t>
  </si>
  <si>
    <t>Fill5</t>
  </si>
  <si>
    <t>Grand Total</t>
  </si>
  <si>
    <t>0.8MG</t>
  </si>
  <si>
    <t>1.2MG</t>
  </si>
  <si>
    <t>1.7MG</t>
  </si>
  <si>
    <t>2.4MG</t>
  </si>
  <si>
    <t>3.0MG</t>
  </si>
  <si>
    <t>NoFill</t>
  </si>
  <si>
    <t xml:space="preserve"> </t>
  </si>
  <si>
    <t>%</t>
  </si>
  <si>
    <t xml:space="preserve"> SourceCategory</t>
  </si>
  <si>
    <t>Fill6</t>
  </si>
  <si>
    <t>Sum of value</t>
  </si>
  <si>
    <t>Fill2 Total</t>
  </si>
  <si>
    <t>Fill3 Total</t>
  </si>
  <si>
    <t>Fill4 Total</t>
  </si>
  <si>
    <t>Fill5 Total</t>
  </si>
  <si>
    <t>Fill6 Total</t>
  </si>
  <si>
    <t>row_number</t>
  </si>
  <si>
    <t>In case of more than 2 errors from learn 'rerun_to_mask_known_errors' provision does not work. Current solution (do not use more than 2 images on a slide).</t>
  </si>
  <si>
    <t>flow_alluvial_py_r_sql_big_input_png.png</t>
  </si>
  <si>
    <t>Default: Sankey</t>
  </si>
  <si>
    <t>{'x': ['drug'],
'y': ['staytime'],
'chartTitle': '12 mth stdy',
'xAxisTitle': [''],
'yAxisTitle': [''],
'chartTitle': ['Study period: '],
'chart_title_font_size': 9,
'xtick_label_font_size': 9,
'series_label_font_size': 8,
'chart_width': 250,
'chart_height': 25,}</t>
  </si>
  <si>
    <t>1949-01</t>
  </si>
  <si>
    <t>#70AD47</t>
  </si>
  <si>
    <t>112, 173, 71</t>
  </si>
  <si>
    <t>1949-02</t>
  </si>
  <si>
    <t>1949-03</t>
  </si>
  <si>
    <t>1949-04</t>
  </si>
  <si>
    <t>1949-05</t>
  </si>
  <si>
    <t>1949-06</t>
  </si>
  <si>
    <t>1949-07</t>
  </si>
  <si>
    <t>1949-08</t>
  </si>
  <si>
    <t>1949-09</t>
  </si>
  <si>
    <t>1949-10</t>
  </si>
  <si>
    <t>1949-11</t>
  </si>
  <si>
    <t>1949-12</t>
  </si>
  <si>
    <t>1950-01</t>
  </si>
  <si>
    <t>1950-02</t>
  </si>
  <si>
    <t>1950-03</t>
  </si>
  <si>
    <t>1950-04</t>
  </si>
  <si>
    <t>1950-05</t>
  </si>
  <si>
    <t>1950-06</t>
  </si>
  <si>
    <t>1950-07</t>
  </si>
  <si>
    <t>1950-08</t>
  </si>
  <si>
    <t>1950-09</t>
  </si>
  <si>
    <t>1950-10</t>
  </si>
  <si>
    <t>1950-11</t>
  </si>
  <si>
    <t>1950-12</t>
  </si>
  <si>
    <t>1951-01</t>
  </si>
  <si>
    <t>1951-02</t>
  </si>
  <si>
    <t>1951-03</t>
  </si>
  <si>
    <t>1951-04</t>
  </si>
  <si>
    <t>1951-05</t>
  </si>
  <si>
    <t>1951-06</t>
  </si>
  <si>
    <t>1951-07</t>
  </si>
  <si>
    <t>1951-08</t>
  </si>
  <si>
    <t>1951-09</t>
  </si>
  <si>
    <t>1951-10</t>
  </si>
  <si>
    <t>1951-11</t>
  </si>
  <si>
    <t>1951-12</t>
  </si>
  <si>
    <t>1952-01</t>
  </si>
  <si>
    <t>1952-02</t>
  </si>
  <si>
    <t>1952-03</t>
  </si>
  <si>
    <t>1952-04</t>
  </si>
  <si>
    <t>1952-05</t>
  </si>
  <si>
    <t>1952-06</t>
  </si>
  <si>
    <t>1952-07</t>
  </si>
  <si>
    <t>1952-08</t>
  </si>
  <si>
    <t>1952-09</t>
  </si>
  <si>
    <t>1952-10</t>
  </si>
  <si>
    <t>1952-11</t>
  </si>
  <si>
    <t>1952-12</t>
  </si>
  <si>
    <t>1953-01</t>
  </si>
  <si>
    <t>1953-02</t>
  </si>
  <si>
    <t>1953-03</t>
  </si>
  <si>
    <t>1953-04</t>
  </si>
  <si>
    <t>1953-05</t>
  </si>
  <si>
    <t>1953-06</t>
  </si>
  <si>
    <t>1953-07</t>
  </si>
  <si>
    <t>1953-08</t>
  </si>
  <si>
    <t>1953-09</t>
  </si>
  <si>
    <t>1953-10</t>
  </si>
  <si>
    <t>1953-11</t>
  </si>
  <si>
    <t>1953-12</t>
  </si>
  <si>
    <t>1954-01</t>
  </si>
  <si>
    <t>1954-02</t>
  </si>
  <si>
    <t>1954-03</t>
  </si>
  <si>
    <t>1954-04</t>
  </si>
  <si>
    <t>1954-05</t>
  </si>
  <si>
    <t>1954-06</t>
  </si>
  <si>
    <t>1954-07</t>
  </si>
  <si>
    <t>1954-08</t>
  </si>
  <si>
    <t>1954-09</t>
  </si>
  <si>
    <t>1954-10</t>
  </si>
  <si>
    <t>1954-11</t>
  </si>
  <si>
    <t>1954-12</t>
  </si>
  <si>
    <t>1955-01</t>
  </si>
  <si>
    <t>1955-02</t>
  </si>
  <si>
    <t>1955-03</t>
  </si>
  <si>
    <t>1955-04</t>
  </si>
  <si>
    <t>1955-05</t>
  </si>
  <si>
    <t>1955-06</t>
  </si>
  <si>
    <t>1955-07</t>
  </si>
  <si>
    <t>1955-08</t>
  </si>
  <si>
    <t>1955-09</t>
  </si>
  <si>
    <t>1955-10</t>
  </si>
  <si>
    <t>1955-11</t>
  </si>
  <si>
    <t>1955-12</t>
  </si>
  <si>
    <t>1956-01</t>
  </si>
  <si>
    <t>1956-02</t>
  </si>
  <si>
    <t>1956-03</t>
  </si>
  <si>
    <t>1956-04</t>
  </si>
  <si>
    <t>1956-05</t>
  </si>
  <si>
    <t>1956-06</t>
  </si>
  <si>
    <t>1956-07</t>
  </si>
  <si>
    <t>1956-08</t>
  </si>
  <si>
    <t>1956-09</t>
  </si>
  <si>
    <t>1956-10</t>
  </si>
  <si>
    <t>1956-11</t>
  </si>
  <si>
    <t>1956-12</t>
  </si>
  <si>
    <t>1957-01</t>
  </si>
  <si>
    <t>1957-02</t>
  </si>
  <si>
    <t>1957-03</t>
  </si>
  <si>
    <t>1957-04</t>
  </si>
  <si>
    <t>1957-05</t>
  </si>
  <si>
    <t>1957-06</t>
  </si>
  <si>
    <t>1957-07</t>
  </si>
  <si>
    <t>1957-08</t>
  </si>
  <si>
    <t>1957-09</t>
  </si>
  <si>
    <t>1957-10</t>
  </si>
  <si>
    <t>1957-11</t>
  </si>
  <si>
    <t>1957-12</t>
  </si>
  <si>
    <t>1958-01</t>
  </si>
  <si>
    <t>1958-02</t>
  </si>
  <si>
    <t>1958-03</t>
  </si>
  <si>
    <t>1958-04</t>
  </si>
  <si>
    <t>1958-05</t>
  </si>
  <si>
    <t>1958-06</t>
  </si>
  <si>
    <t>1958-07</t>
  </si>
  <si>
    <t>1958-08</t>
  </si>
  <si>
    <t>1958-09</t>
  </si>
  <si>
    <t>1958-10</t>
  </si>
  <si>
    <t>1958-11</t>
  </si>
  <si>
    <t>1958-12</t>
  </si>
  <si>
    <t>1959-01</t>
  </si>
  <si>
    <t>1959-02</t>
  </si>
  <si>
    <t>1959-03</t>
  </si>
  <si>
    <t>1959-04</t>
  </si>
  <si>
    <t>1959-05</t>
  </si>
  <si>
    <t>1959-06</t>
  </si>
  <si>
    <t>1959-07</t>
  </si>
  <si>
    <t>1959-08</t>
  </si>
  <si>
    <t>1959-09</t>
  </si>
  <si>
    <t>1959-10</t>
  </si>
  <si>
    <t>1959-11</t>
  </si>
  <si>
    <t>1959-12</t>
  </si>
  <si>
    <t>1960-01</t>
  </si>
  <si>
    <t>1960-02</t>
  </si>
  <si>
    <t>1960-03</t>
  </si>
  <si>
    <t>1960-04</t>
  </si>
  <si>
    <t>1960-05</t>
  </si>
  <si>
    <t>1960-06</t>
  </si>
  <si>
    <t>1960-07</t>
  </si>
  <si>
    <t>1960-08</t>
  </si>
  <si>
    <t>1960-09</t>
  </si>
  <si>
    <t>1960-10</t>
  </si>
  <si>
    <t>1960-11</t>
  </si>
  <si>
    <t>1960-12</t>
  </si>
  <si>
    <t>{'x': ['date'],
'y': ['source'],
'value': ['nbr_of_patients'],
'xAxisTitle': [''],
'yAxisTitle': [''],
'xtick_label_font_size': 9,
'ytick_label_font_size': 9,
'series_label_font_size': 9,
'label_format': "0%",
'total_format': "[&gt;=1000]#,##0,K;#",
'legend_font_size': 10,
'bar_width': 100,
'chart_width': 560,
'chart_height': 280,
'sort_array': ['New', 'Mature', 'Old']}</t>
  </si>
  <si>
    <t>subtitle_1</t>
  </si>
  <si>
    <t>subtitle_desc_1</t>
  </si>
  <si>
    <t>subtitle_2</t>
  </si>
  <si>
    <t>subtitle_desc_2</t>
  </si>
  <si>
    <t>Column1</t>
  </si>
  <si>
    <t>Footnote</t>
  </si>
  <si>
    <t>{'x': ['days_on_therapy'],
'y': ['brand'],
'value': ['value'],
'chartTitle': '',
'xAxisTitle': [''],
'yAxisTitle': ['% of patients'],
'xtitle_font_size': 10,
'xtick_label_font_size': 9,
'ytitle_font_size': 10,
'ytick_label_font_size': 9,
'series_label_font_size': 9,
'legend_font_size': 9,
'averageEntryWidth': 65,
'series_weight': 1.2,
'special_series_weight': 1.9,
'special_series_name': ['Drug A®'],
'marker_size': 6,
'chart_width': 560,
'chart_height': 280,
'axis_line_weight': 0.75}</t>
  </si>
  <si>
    <t>Default [xyv_multiline]</t>
  </si>
  <si>
    <t>Default [xyv_multiline, xy_hr_bar]</t>
  </si>
  <si>
    <t>Default [xyv_stacked_bar]</t>
  </si>
  <si>
    <t>Default [xyv_multiline, xyz_hr_bar_k]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</si>
</sst>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rgb="FFCE9178"/>
      <name val="Consolas"/>
      <family val="3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0" fillId="3" borderId="1" xfId="0" applyFill="1" applyBorder="1"/>
    <xf numFmtId="0" fontId="0" fillId="3" borderId="0" xfId="0" applyFill="1"/>
    <xf numFmtId="14" fontId="0" fillId="0" borderId="0" xfId="0" applyNumberFormat="1"/>
    <xf numFmtId="17" fontId="0" fillId="0" borderId="0" xfId="0" applyNumberFormat="1"/>
    <xf numFmtId="164" fontId="0" fillId="0" borderId="0" xfId="0" applyNumberFormat="1"/>
    <xf numFmtId="0" fontId="0" fillId="3" borderId="2" xfId="0" applyFill="1" applyBorder="1"/>
    <xf numFmtId="0" fontId="1" fillId="0" borderId="0" xfId="0" applyFont="1" applyAlignment="1">
      <alignment vertical="center"/>
    </xf>
    <xf numFmtId="0" fontId="0" fillId="2" borderId="1" xfId="0" applyFill="1" applyBorder="1" applyAlignment="1">
      <alignment vertical="top"/>
    </xf>
    <xf numFmtId="0" fontId="0" fillId="2" borderId="3" xfId="0" applyFill="1" applyBorder="1"/>
    <xf numFmtId="0" fontId="0" fillId="2" borderId="0" xfId="0" applyFill="1" applyAlignment="1">
      <alignment horizontal="left" indent="1"/>
    </xf>
    <xf numFmtId="0" fontId="0" fillId="2" borderId="0" xfId="0" applyFill="1" applyAlignment="1">
      <alignment horizontal="left"/>
    </xf>
    <xf numFmtId="0" fontId="0" fillId="2" borderId="4" xfId="0" applyFill="1" applyBorder="1"/>
    <xf numFmtId="0" fontId="0" fillId="2" borderId="5" xfId="0" applyFill="1" applyBorder="1"/>
    <xf numFmtId="0" fontId="0" fillId="2" borderId="2" xfId="0" applyFill="1" applyBorder="1"/>
    <xf numFmtId="9" fontId="0" fillId="2" borderId="2" xfId="0" applyNumberFormat="1" applyFill="1" applyBorder="1"/>
    <xf numFmtId="0" fontId="2" fillId="0" borderId="0" xfId="0" applyFont="1" applyAlignment="1">
      <alignment vertical="top"/>
    </xf>
    <xf numFmtId="0" fontId="2" fillId="0" borderId="6" xfId="0" applyFont="1" applyBorder="1" applyAlignment="1">
      <alignment vertical="top"/>
    </xf>
    <xf numFmtId="0" fontId="2" fillId="0" borderId="7" xfId="0" applyFont="1" applyBorder="1" applyAlignment="1">
      <alignment vertical="top"/>
    </xf>
    <xf numFmtId="0" fontId="2" fillId="0" borderId="8" xfId="0" applyFont="1" applyBorder="1" applyAlignment="1">
      <alignment vertical="top"/>
    </xf>
    <xf numFmtId="0" fontId="2" fillId="4" borderId="1" xfId="0" applyFont="1" applyFill="1" applyBorder="1" applyAlignment="1">
      <alignment vertical="top"/>
    </xf>
    <xf numFmtId="0" fontId="2" fillId="5" borderId="1" xfId="0" applyFont="1" applyFill="1" applyBorder="1" applyAlignment="1">
      <alignment vertical="top"/>
    </xf>
    <xf numFmtId="0" fontId="2" fillId="5" borderId="1" xfId="0" applyFont="1" applyFill="1" applyBorder="1" applyAlignment="1"/>
    <xf numFmtId="0" fontId="2" fillId="4" borderId="1" xfId="0" applyFont="1" applyFill="1" applyBorder="1" applyAlignment="1"/>
    <xf numFmtId="0" fontId="0" fillId="5" borderId="1" xfId="0" applyFill="1" applyBorder="1" applyAlignment="1"/>
  </cellXfs>
  <cellStyles count="1">
    <cellStyle name="Normal" xfId="0" builtinId="0"/>
  </cellStyles>
  <dxfs count="53"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numFmt numFmtId="0" formatCode="General"/>
    </dxf>
    <dxf>
      <numFmt numFmtId="13" formatCode="0%"/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outline="0">
        <bottom style="thin">
          <color theme="0" tint="-0.499984740745262"/>
        </bottom>
      </border>
    </dxf>
  </dxfs>
  <tableStyles count="0" defaultTableStyle="TableStyleMedium2" defaultPivotStyle="PivotStyleLight16"/>
  <colors>
    <mruColors>
      <color rgb="FF1030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3</xdr:row>
      <xdr:rowOff>63500</xdr:rowOff>
    </xdr:from>
    <xdr:to>
      <xdr:col>6</xdr:col>
      <xdr:colOff>288925</xdr:colOff>
      <xdr:row>4</xdr:row>
      <xdr:rowOff>0</xdr:rowOff>
    </xdr:to>
    <xdr:sp macro="" textlink="">
      <xdr:nvSpPr>
        <xdr:cNvPr id="15" name="LegendShape_Group">
          <a:extLst>
            <a:ext uri="{FF2B5EF4-FFF2-40B4-BE49-F238E27FC236}">
              <a16:creationId xmlns:a16="http://schemas.microsoft.com/office/drawing/2014/main" id="{EA25E472-0CEB-3357-7433-756212EC9103}"/>
            </a:ext>
          </a:extLst>
        </xdr:cNvPr>
        <xdr:cNvSpPr/>
      </xdr:nvSpPr>
      <xdr:spPr>
        <a:xfrm>
          <a:off x="3810000" y="635000"/>
          <a:ext cx="127000" cy="127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98425</xdr:colOff>
      <xdr:row>3</xdr:row>
      <xdr:rowOff>0</xdr:rowOff>
    </xdr:from>
    <xdr:to>
      <xdr:col>10</xdr:col>
      <xdr:colOff>529629</xdr:colOff>
      <xdr:row>4</xdr:row>
      <xdr:rowOff>63500</xdr:rowOff>
    </xdr:to>
    <xdr:sp macro="" textlink="">
      <xdr:nvSpPr>
        <xdr:cNvPr id="23" name="LegendShape_Border">
          <a:extLst>
            <a:ext uri="{FF2B5EF4-FFF2-40B4-BE49-F238E27FC236}">
              <a16:creationId xmlns:a16="http://schemas.microsoft.com/office/drawing/2014/main" id="{3E1177FD-A5BF-BA84-8C56-2EE332A5F98D}"/>
            </a:ext>
          </a:extLst>
        </xdr:cNvPr>
        <xdr:cNvSpPr/>
      </xdr:nvSpPr>
      <xdr:spPr>
        <a:xfrm>
          <a:off x="3746500" y="571500"/>
          <a:ext cx="2869604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shutosh Gaur" refreshedDate="45737.948749768519" createdVersion="8" refreshedVersion="8" minRefreshableVersion="3" recordCount="216" xr:uid="{D6A6900A-D81B-4DAC-844E-02FDB634F03D}">
  <cacheSource type="worksheet">
    <worksheetSource ref="E1:J217" sheet="flow_alluvial_plot_6f"/>
  </cacheSource>
  <cacheFields count="6">
    <cacheField name="Source Bar" numFmtId="0">
      <sharedItems count="6">
        <s v="Fill1"/>
        <s v="Fill2"/>
        <s v="Fill3"/>
        <s v="Fill4"/>
        <s v="Fill5"/>
        <s v="Fill6"/>
      </sharedItems>
    </cacheField>
    <cacheField name="SourceCategory" numFmtId="0">
      <sharedItems count="6">
        <s v="NoFill"/>
        <s v="0.8MG"/>
        <s v="1.2MG"/>
        <s v="1.7MG"/>
        <s v="2.4MG"/>
        <s v="3.0MG"/>
      </sharedItems>
    </cacheField>
    <cacheField name="Target Bar" numFmtId="0">
      <sharedItems count="5">
        <s v="Fill2"/>
        <s v="Fill3"/>
        <s v="Fill4"/>
        <s v="Fill5"/>
        <s v="Fill6"/>
      </sharedItems>
    </cacheField>
    <cacheField name="TargetCategory" numFmtId="0">
      <sharedItems count="6">
        <s v="NoFill"/>
        <s v="0.8MG"/>
        <s v="1.2MG"/>
        <s v="1.7MG"/>
        <s v="2.4MG"/>
        <s v="3.0MG"/>
      </sharedItems>
    </cacheField>
    <cacheField name="value" numFmtId="0">
      <sharedItems containsSemiMixedTypes="0" containsString="0" containsNumber="1" containsInteger="1" minValue="1" maxValue="99"/>
    </cacheField>
    <cacheField name="%" numFmtId="9">
      <sharedItems containsSemiMixedTypes="0" containsString="0" containsNumber="1" minValue="5.5157198014340876E-4" maxValue="7.052709725315516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6">
  <r>
    <x v="0"/>
    <x v="0"/>
    <x v="0"/>
    <x v="0"/>
    <n v="1"/>
    <n v="5.8582308142940832E-4"/>
  </r>
  <r>
    <x v="0"/>
    <x v="0"/>
    <x v="0"/>
    <x v="1"/>
    <n v="1"/>
    <n v="5.8582308142940832E-4"/>
  </r>
  <r>
    <x v="0"/>
    <x v="0"/>
    <x v="0"/>
    <x v="2"/>
    <n v="1"/>
    <n v="5.8582308142940832E-4"/>
  </r>
  <r>
    <x v="0"/>
    <x v="0"/>
    <x v="0"/>
    <x v="3"/>
    <n v="1"/>
    <n v="5.8582308142940832E-4"/>
  </r>
  <r>
    <x v="0"/>
    <x v="0"/>
    <x v="0"/>
    <x v="4"/>
    <n v="1"/>
    <n v="5.8582308142940832E-4"/>
  </r>
  <r>
    <x v="0"/>
    <x v="0"/>
    <x v="0"/>
    <x v="5"/>
    <n v="1"/>
    <n v="5.8582308142940832E-4"/>
  </r>
  <r>
    <x v="0"/>
    <x v="1"/>
    <x v="0"/>
    <x v="0"/>
    <n v="87"/>
    <n v="5.0966608084358524E-2"/>
  </r>
  <r>
    <x v="0"/>
    <x v="1"/>
    <x v="0"/>
    <x v="1"/>
    <n v="91"/>
    <n v="5.3309900410076154E-2"/>
  </r>
  <r>
    <x v="0"/>
    <x v="1"/>
    <x v="0"/>
    <x v="2"/>
    <n v="79"/>
    <n v="4.6280023432923256E-2"/>
  </r>
  <r>
    <x v="0"/>
    <x v="1"/>
    <x v="0"/>
    <x v="3"/>
    <n v="79"/>
    <n v="4.6280023432923256E-2"/>
  </r>
  <r>
    <x v="0"/>
    <x v="1"/>
    <x v="0"/>
    <x v="4"/>
    <n v="92"/>
    <n v="5.3895723491505565E-2"/>
  </r>
  <r>
    <x v="0"/>
    <x v="1"/>
    <x v="0"/>
    <x v="5"/>
    <n v="28"/>
    <n v="1.6403046280023433E-2"/>
  </r>
  <r>
    <x v="0"/>
    <x v="2"/>
    <x v="0"/>
    <x v="0"/>
    <n v="7"/>
    <n v="4.1007615700058581E-3"/>
  </r>
  <r>
    <x v="0"/>
    <x v="2"/>
    <x v="0"/>
    <x v="1"/>
    <n v="26"/>
    <n v="1.5231400117164616E-2"/>
  </r>
  <r>
    <x v="0"/>
    <x v="2"/>
    <x v="0"/>
    <x v="2"/>
    <n v="57"/>
    <n v="3.3391915641476276E-2"/>
  </r>
  <r>
    <x v="0"/>
    <x v="2"/>
    <x v="0"/>
    <x v="3"/>
    <n v="6"/>
    <n v="3.5149384885764497E-3"/>
  </r>
  <r>
    <x v="0"/>
    <x v="2"/>
    <x v="0"/>
    <x v="4"/>
    <n v="92"/>
    <n v="5.3895723491505565E-2"/>
  </r>
  <r>
    <x v="0"/>
    <x v="2"/>
    <x v="0"/>
    <x v="5"/>
    <n v="34"/>
    <n v="1.9917984768599881E-2"/>
  </r>
  <r>
    <x v="0"/>
    <x v="3"/>
    <x v="0"/>
    <x v="0"/>
    <n v="42"/>
    <n v="2.4604569420035149E-2"/>
  </r>
  <r>
    <x v="0"/>
    <x v="3"/>
    <x v="0"/>
    <x v="1"/>
    <n v="6"/>
    <n v="3.5149384885764497E-3"/>
  </r>
  <r>
    <x v="0"/>
    <x v="3"/>
    <x v="0"/>
    <x v="2"/>
    <n v="68"/>
    <n v="3.9835969537199763E-2"/>
  </r>
  <r>
    <x v="0"/>
    <x v="3"/>
    <x v="0"/>
    <x v="3"/>
    <n v="64"/>
    <n v="3.7492677211482132E-2"/>
  </r>
  <r>
    <x v="0"/>
    <x v="3"/>
    <x v="0"/>
    <x v="4"/>
    <n v="25"/>
    <n v="1.4645577035735208E-2"/>
  </r>
  <r>
    <x v="0"/>
    <x v="3"/>
    <x v="0"/>
    <x v="5"/>
    <n v="37"/>
    <n v="2.1675454012888107E-2"/>
  </r>
  <r>
    <x v="0"/>
    <x v="4"/>
    <x v="0"/>
    <x v="0"/>
    <n v="80"/>
    <n v="4.6865846514352667E-2"/>
  </r>
  <r>
    <x v="0"/>
    <x v="4"/>
    <x v="0"/>
    <x v="1"/>
    <n v="62"/>
    <n v="3.6321031048623317E-2"/>
  </r>
  <r>
    <x v="0"/>
    <x v="4"/>
    <x v="0"/>
    <x v="2"/>
    <n v="26"/>
    <n v="1.5231400117164616E-2"/>
  </r>
  <r>
    <x v="0"/>
    <x v="4"/>
    <x v="0"/>
    <x v="3"/>
    <n v="93"/>
    <n v="5.4481546572934976E-2"/>
  </r>
  <r>
    <x v="0"/>
    <x v="4"/>
    <x v="0"/>
    <x v="4"/>
    <n v="53"/>
    <n v="3.1048623315758642E-2"/>
  </r>
  <r>
    <x v="0"/>
    <x v="4"/>
    <x v="0"/>
    <x v="5"/>
    <n v="95"/>
    <n v="5.5653192735793791E-2"/>
  </r>
  <r>
    <x v="0"/>
    <x v="5"/>
    <x v="0"/>
    <x v="0"/>
    <n v="63"/>
    <n v="3.6906854130052721E-2"/>
  </r>
  <r>
    <x v="0"/>
    <x v="5"/>
    <x v="0"/>
    <x v="1"/>
    <n v="46"/>
    <n v="2.6947861745752782E-2"/>
  </r>
  <r>
    <x v="0"/>
    <x v="5"/>
    <x v="0"/>
    <x v="2"/>
    <n v="96"/>
    <n v="5.6239015817223195E-2"/>
  </r>
  <r>
    <x v="0"/>
    <x v="5"/>
    <x v="0"/>
    <x v="3"/>
    <n v="64"/>
    <n v="3.7492677211482132E-2"/>
  </r>
  <r>
    <x v="0"/>
    <x v="5"/>
    <x v="0"/>
    <x v="4"/>
    <n v="84"/>
    <n v="4.9209138840070298E-2"/>
  </r>
  <r>
    <x v="0"/>
    <x v="5"/>
    <x v="0"/>
    <x v="5"/>
    <n v="19"/>
    <n v="1.1130638547158758E-2"/>
  </r>
  <r>
    <x v="1"/>
    <x v="0"/>
    <x v="1"/>
    <x v="0"/>
    <n v="1"/>
    <n v="7.0671378091872788E-4"/>
  </r>
  <r>
    <x v="1"/>
    <x v="0"/>
    <x v="1"/>
    <x v="1"/>
    <n v="1"/>
    <n v="7.0671378091872788E-4"/>
  </r>
  <r>
    <x v="1"/>
    <x v="0"/>
    <x v="1"/>
    <x v="2"/>
    <n v="1"/>
    <n v="7.0671378091872788E-4"/>
  </r>
  <r>
    <x v="1"/>
    <x v="0"/>
    <x v="1"/>
    <x v="3"/>
    <n v="1"/>
    <n v="7.0671378091872788E-4"/>
  </r>
  <r>
    <x v="1"/>
    <x v="0"/>
    <x v="1"/>
    <x v="4"/>
    <n v="1"/>
    <n v="7.0671378091872788E-4"/>
  </r>
  <r>
    <x v="1"/>
    <x v="0"/>
    <x v="1"/>
    <x v="5"/>
    <n v="1"/>
    <n v="7.0671378091872788E-4"/>
  </r>
  <r>
    <x v="1"/>
    <x v="1"/>
    <x v="1"/>
    <x v="0"/>
    <n v="68"/>
    <n v="4.8056537102473498E-2"/>
  </r>
  <r>
    <x v="1"/>
    <x v="1"/>
    <x v="1"/>
    <x v="1"/>
    <n v="7"/>
    <n v="4.9469964664310955E-3"/>
  </r>
  <r>
    <x v="1"/>
    <x v="1"/>
    <x v="1"/>
    <x v="2"/>
    <n v="55"/>
    <n v="3.8869257950530034E-2"/>
  </r>
  <r>
    <x v="1"/>
    <x v="1"/>
    <x v="1"/>
    <x v="3"/>
    <n v="11"/>
    <n v="7.7738515901060075E-3"/>
  </r>
  <r>
    <x v="1"/>
    <x v="1"/>
    <x v="1"/>
    <x v="4"/>
    <n v="25"/>
    <n v="1.7667844522968199E-2"/>
  </r>
  <r>
    <x v="1"/>
    <x v="1"/>
    <x v="1"/>
    <x v="5"/>
    <n v="77"/>
    <n v="5.4416961130742049E-2"/>
  </r>
  <r>
    <x v="1"/>
    <x v="2"/>
    <x v="1"/>
    <x v="0"/>
    <n v="43"/>
    <n v="3.03886925795053E-2"/>
  </r>
  <r>
    <x v="1"/>
    <x v="2"/>
    <x v="1"/>
    <x v="1"/>
    <n v="22"/>
    <n v="1.5547703180212015E-2"/>
  </r>
  <r>
    <x v="1"/>
    <x v="2"/>
    <x v="1"/>
    <x v="2"/>
    <n v="8"/>
    <n v="5.6537102473498231E-3"/>
  </r>
  <r>
    <x v="1"/>
    <x v="2"/>
    <x v="1"/>
    <x v="3"/>
    <n v="93"/>
    <n v="6.5724381625441697E-2"/>
  </r>
  <r>
    <x v="1"/>
    <x v="2"/>
    <x v="1"/>
    <x v="4"/>
    <n v="64"/>
    <n v="4.5229681978798585E-2"/>
  </r>
  <r>
    <x v="1"/>
    <x v="2"/>
    <x v="1"/>
    <x v="5"/>
    <n v="18"/>
    <n v="1.2720848056537103E-2"/>
  </r>
  <r>
    <x v="1"/>
    <x v="3"/>
    <x v="1"/>
    <x v="0"/>
    <n v="13"/>
    <n v="9.1872791519434626E-3"/>
  </r>
  <r>
    <x v="1"/>
    <x v="3"/>
    <x v="1"/>
    <x v="1"/>
    <n v="94"/>
    <n v="6.6431095406360427E-2"/>
  </r>
  <r>
    <x v="1"/>
    <x v="3"/>
    <x v="1"/>
    <x v="2"/>
    <n v="57"/>
    <n v="4.0282685512367494E-2"/>
  </r>
  <r>
    <x v="1"/>
    <x v="3"/>
    <x v="1"/>
    <x v="3"/>
    <n v="6"/>
    <n v="4.2402826855123671E-3"/>
  </r>
  <r>
    <x v="1"/>
    <x v="3"/>
    <x v="1"/>
    <x v="4"/>
    <n v="88"/>
    <n v="6.219081272084806E-2"/>
  </r>
  <r>
    <x v="1"/>
    <x v="3"/>
    <x v="1"/>
    <x v="5"/>
    <n v="96"/>
    <n v="6.7844522968197873E-2"/>
  </r>
  <r>
    <x v="1"/>
    <x v="4"/>
    <x v="1"/>
    <x v="0"/>
    <n v="64"/>
    <n v="4.5229681978798585E-2"/>
  </r>
  <r>
    <x v="1"/>
    <x v="4"/>
    <x v="1"/>
    <x v="1"/>
    <n v="75"/>
    <n v="5.3003533568904596E-2"/>
  </r>
  <r>
    <x v="1"/>
    <x v="4"/>
    <x v="1"/>
    <x v="2"/>
    <n v="48"/>
    <n v="3.3922261484098937E-2"/>
  </r>
  <r>
    <x v="1"/>
    <x v="4"/>
    <x v="1"/>
    <x v="3"/>
    <n v="12"/>
    <n v="8.4805653710247342E-3"/>
  </r>
  <r>
    <x v="1"/>
    <x v="4"/>
    <x v="1"/>
    <x v="4"/>
    <n v="51"/>
    <n v="3.604240282685512E-2"/>
  </r>
  <r>
    <x v="1"/>
    <x v="4"/>
    <x v="1"/>
    <x v="5"/>
    <n v="39"/>
    <n v="2.756183745583039E-2"/>
  </r>
  <r>
    <x v="1"/>
    <x v="5"/>
    <x v="1"/>
    <x v="0"/>
    <n v="82"/>
    <n v="5.7950530035335686E-2"/>
  </r>
  <r>
    <x v="1"/>
    <x v="5"/>
    <x v="1"/>
    <x v="1"/>
    <n v="85"/>
    <n v="6.0070671378091869E-2"/>
  </r>
  <r>
    <x v="1"/>
    <x v="5"/>
    <x v="1"/>
    <x v="2"/>
    <n v="40"/>
    <n v="2.8268551236749116E-2"/>
  </r>
  <r>
    <x v="1"/>
    <x v="5"/>
    <x v="1"/>
    <x v="3"/>
    <n v="54"/>
    <n v="3.8162544169611311E-2"/>
  </r>
  <r>
    <x v="1"/>
    <x v="5"/>
    <x v="1"/>
    <x v="4"/>
    <n v="8"/>
    <n v="5.6537102473498231E-3"/>
  </r>
  <r>
    <x v="1"/>
    <x v="5"/>
    <x v="1"/>
    <x v="5"/>
    <n v="6"/>
    <n v="4.2402826855123671E-3"/>
  </r>
  <r>
    <x v="2"/>
    <x v="0"/>
    <x v="2"/>
    <x v="0"/>
    <n v="1"/>
    <n v="5.5157198014340876E-4"/>
  </r>
  <r>
    <x v="2"/>
    <x v="0"/>
    <x v="2"/>
    <x v="1"/>
    <n v="1"/>
    <n v="5.5157198014340876E-4"/>
  </r>
  <r>
    <x v="2"/>
    <x v="0"/>
    <x v="2"/>
    <x v="2"/>
    <n v="1"/>
    <n v="5.5157198014340876E-4"/>
  </r>
  <r>
    <x v="2"/>
    <x v="0"/>
    <x v="2"/>
    <x v="3"/>
    <n v="1"/>
    <n v="5.5157198014340876E-4"/>
  </r>
  <r>
    <x v="2"/>
    <x v="0"/>
    <x v="2"/>
    <x v="4"/>
    <n v="1"/>
    <n v="5.5157198014340876E-4"/>
  </r>
  <r>
    <x v="2"/>
    <x v="0"/>
    <x v="2"/>
    <x v="5"/>
    <n v="1"/>
    <n v="5.5157198014340876E-4"/>
  </r>
  <r>
    <x v="2"/>
    <x v="1"/>
    <x v="2"/>
    <x v="0"/>
    <n v="22"/>
    <n v="1.2134583563154992E-2"/>
  </r>
  <r>
    <x v="2"/>
    <x v="1"/>
    <x v="2"/>
    <x v="1"/>
    <n v="94"/>
    <n v="5.1847766133480418E-2"/>
  </r>
  <r>
    <x v="2"/>
    <x v="1"/>
    <x v="2"/>
    <x v="2"/>
    <n v="48"/>
    <n v="2.6475455046883617E-2"/>
  </r>
  <r>
    <x v="2"/>
    <x v="1"/>
    <x v="2"/>
    <x v="3"/>
    <n v="38"/>
    <n v="2.0959735245449532E-2"/>
  </r>
  <r>
    <x v="2"/>
    <x v="1"/>
    <x v="2"/>
    <x v="4"/>
    <n v="78"/>
    <n v="4.3022614451185881E-2"/>
  </r>
  <r>
    <x v="2"/>
    <x v="1"/>
    <x v="2"/>
    <x v="5"/>
    <n v="66"/>
    <n v="3.6403750689464977E-2"/>
  </r>
  <r>
    <x v="2"/>
    <x v="2"/>
    <x v="2"/>
    <x v="0"/>
    <n v="18"/>
    <n v="9.9282956425813564E-3"/>
  </r>
  <r>
    <x v="2"/>
    <x v="2"/>
    <x v="2"/>
    <x v="1"/>
    <n v="99"/>
    <n v="5.4605626034197462E-2"/>
  </r>
  <r>
    <x v="2"/>
    <x v="2"/>
    <x v="2"/>
    <x v="2"/>
    <n v="52"/>
    <n v="2.8681742967457253E-2"/>
  </r>
  <r>
    <x v="2"/>
    <x v="2"/>
    <x v="2"/>
    <x v="3"/>
    <n v="19"/>
    <n v="1.0479867622724766E-2"/>
  </r>
  <r>
    <x v="2"/>
    <x v="2"/>
    <x v="2"/>
    <x v="4"/>
    <n v="76"/>
    <n v="4.1919470490899065E-2"/>
  </r>
  <r>
    <x v="2"/>
    <x v="2"/>
    <x v="2"/>
    <x v="5"/>
    <n v="82"/>
    <n v="4.5228902371759513E-2"/>
  </r>
  <r>
    <x v="2"/>
    <x v="3"/>
    <x v="2"/>
    <x v="0"/>
    <n v="91"/>
    <n v="5.019305019305019E-2"/>
  </r>
  <r>
    <x v="2"/>
    <x v="3"/>
    <x v="2"/>
    <x v="1"/>
    <n v="66"/>
    <n v="3.6403750689464977E-2"/>
  </r>
  <r>
    <x v="2"/>
    <x v="3"/>
    <x v="2"/>
    <x v="2"/>
    <n v="44"/>
    <n v="2.4269167126309985E-2"/>
  </r>
  <r>
    <x v="2"/>
    <x v="3"/>
    <x v="2"/>
    <x v="3"/>
    <n v="89"/>
    <n v="4.9089906232763374E-2"/>
  </r>
  <r>
    <x v="2"/>
    <x v="3"/>
    <x v="2"/>
    <x v="4"/>
    <n v="84"/>
    <n v="4.633204633204633E-2"/>
  </r>
  <r>
    <x v="2"/>
    <x v="3"/>
    <x v="2"/>
    <x v="5"/>
    <n v="86"/>
    <n v="4.7435190292333153E-2"/>
  </r>
  <r>
    <x v="2"/>
    <x v="4"/>
    <x v="2"/>
    <x v="0"/>
    <n v="57"/>
    <n v="3.1439602868174293E-2"/>
  </r>
  <r>
    <x v="2"/>
    <x v="4"/>
    <x v="2"/>
    <x v="1"/>
    <n v="28"/>
    <n v="1.5444015444015444E-2"/>
  </r>
  <r>
    <x v="2"/>
    <x v="4"/>
    <x v="2"/>
    <x v="2"/>
    <n v="30"/>
    <n v="1.6547159404302261E-2"/>
  </r>
  <r>
    <x v="2"/>
    <x v="4"/>
    <x v="2"/>
    <x v="3"/>
    <n v="93"/>
    <n v="5.1296194153337013E-2"/>
  </r>
  <r>
    <x v="2"/>
    <x v="4"/>
    <x v="2"/>
    <x v="4"/>
    <n v="64"/>
    <n v="3.5300606729178161E-2"/>
  </r>
  <r>
    <x v="2"/>
    <x v="4"/>
    <x v="2"/>
    <x v="5"/>
    <n v="45"/>
    <n v="2.4820739106453393E-2"/>
  </r>
  <r>
    <x v="2"/>
    <x v="5"/>
    <x v="2"/>
    <x v="0"/>
    <n v="33"/>
    <n v="1.8201875344732488E-2"/>
  </r>
  <r>
    <x v="2"/>
    <x v="5"/>
    <x v="2"/>
    <x v="1"/>
    <n v="19"/>
    <n v="1.0479867622724766E-2"/>
  </r>
  <r>
    <x v="2"/>
    <x v="5"/>
    <x v="2"/>
    <x v="2"/>
    <n v="49"/>
    <n v="2.7027027027027029E-2"/>
  </r>
  <r>
    <x v="2"/>
    <x v="5"/>
    <x v="2"/>
    <x v="3"/>
    <n v="69"/>
    <n v="3.8058466629895205E-2"/>
  </r>
  <r>
    <x v="2"/>
    <x v="5"/>
    <x v="2"/>
    <x v="4"/>
    <n v="93"/>
    <n v="5.1296194153337013E-2"/>
  </r>
  <r>
    <x v="2"/>
    <x v="5"/>
    <x v="2"/>
    <x v="5"/>
    <n v="75"/>
    <n v="4.1367898510755653E-2"/>
  </r>
  <r>
    <x v="3"/>
    <x v="0"/>
    <x v="3"/>
    <x v="0"/>
    <n v="1"/>
    <n v="7.4239049740163323E-4"/>
  </r>
  <r>
    <x v="3"/>
    <x v="0"/>
    <x v="3"/>
    <x v="1"/>
    <n v="1"/>
    <n v="7.4239049740163323E-4"/>
  </r>
  <r>
    <x v="3"/>
    <x v="0"/>
    <x v="3"/>
    <x v="2"/>
    <n v="1"/>
    <n v="7.4239049740163323E-4"/>
  </r>
  <r>
    <x v="3"/>
    <x v="0"/>
    <x v="3"/>
    <x v="3"/>
    <n v="1"/>
    <n v="7.4239049740163323E-4"/>
  </r>
  <r>
    <x v="3"/>
    <x v="0"/>
    <x v="3"/>
    <x v="4"/>
    <n v="1"/>
    <n v="7.4239049740163323E-4"/>
  </r>
  <r>
    <x v="3"/>
    <x v="0"/>
    <x v="3"/>
    <x v="5"/>
    <n v="1"/>
    <n v="7.4239049740163323E-4"/>
  </r>
  <r>
    <x v="3"/>
    <x v="1"/>
    <x v="3"/>
    <x v="0"/>
    <n v="15"/>
    <n v="1.1135857461024499E-2"/>
  </r>
  <r>
    <x v="3"/>
    <x v="1"/>
    <x v="3"/>
    <x v="1"/>
    <n v="85"/>
    <n v="6.3103192279138826E-2"/>
  </r>
  <r>
    <x v="3"/>
    <x v="1"/>
    <x v="3"/>
    <x v="2"/>
    <n v="12"/>
    <n v="8.9086859688195987E-3"/>
  </r>
  <r>
    <x v="3"/>
    <x v="1"/>
    <x v="3"/>
    <x v="3"/>
    <n v="39"/>
    <n v="2.8953229398663696E-2"/>
  </r>
  <r>
    <x v="3"/>
    <x v="1"/>
    <x v="3"/>
    <x v="4"/>
    <n v="39"/>
    <n v="2.8953229398663696E-2"/>
  </r>
  <r>
    <x v="3"/>
    <x v="1"/>
    <x v="3"/>
    <x v="5"/>
    <n v="37"/>
    <n v="2.7468448403860431E-2"/>
  </r>
  <r>
    <x v="3"/>
    <x v="2"/>
    <x v="3"/>
    <x v="0"/>
    <n v="9"/>
    <n v="6.6815144766146995E-3"/>
  </r>
  <r>
    <x v="3"/>
    <x v="2"/>
    <x v="3"/>
    <x v="1"/>
    <n v="45"/>
    <n v="3.34075723830735E-2"/>
  </r>
  <r>
    <x v="3"/>
    <x v="2"/>
    <x v="3"/>
    <x v="2"/>
    <n v="32"/>
    <n v="2.3756495916852263E-2"/>
  </r>
  <r>
    <x v="3"/>
    <x v="2"/>
    <x v="3"/>
    <x v="3"/>
    <n v="11"/>
    <n v="8.1662954714179659E-3"/>
  </r>
  <r>
    <x v="3"/>
    <x v="2"/>
    <x v="3"/>
    <x v="4"/>
    <n v="77"/>
    <n v="5.7164068299925763E-2"/>
  </r>
  <r>
    <x v="3"/>
    <x v="2"/>
    <x v="3"/>
    <x v="5"/>
    <n v="76"/>
    <n v="5.6421677802524127E-2"/>
  </r>
  <r>
    <x v="3"/>
    <x v="3"/>
    <x v="3"/>
    <x v="0"/>
    <n v="16"/>
    <n v="1.1878247958426132E-2"/>
  </r>
  <r>
    <x v="3"/>
    <x v="3"/>
    <x v="3"/>
    <x v="1"/>
    <n v="38"/>
    <n v="2.8210838901262063E-2"/>
  </r>
  <r>
    <x v="3"/>
    <x v="3"/>
    <x v="3"/>
    <x v="2"/>
    <n v="37"/>
    <n v="2.7468448403860431E-2"/>
  </r>
  <r>
    <x v="3"/>
    <x v="3"/>
    <x v="3"/>
    <x v="3"/>
    <n v="52"/>
    <n v="3.8604305864884926E-2"/>
  </r>
  <r>
    <x v="3"/>
    <x v="3"/>
    <x v="3"/>
    <x v="4"/>
    <n v="27"/>
    <n v="2.0044543429844099E-2"/>
  </r>
  <r>
    <x v="3"/>
    <x v="3"/>
    <x v="3"/>
    <x v="5"/>
    <n v="66"/>
    <n v="4.8997772828507792E-2"/>
  </r>
  <r>
    <x v="3"/>
    <x v="4"/>
    <x v="3"/>
    <x v="0"/>
    <n v="92"/>
    <n v="6.8299925760950259E-2"/>
  </r>
  <r>
    <x v="3"/>
    <x v="4"/>
    <x v="3"/>
    <x v="1"/>
    <n v="41"/>
    <n v="3.0438010393466965E-2"/>
  </r>
  <r>
    <x v="3"/>
    <x v="4"/>
    <x v="3"/>
    <x v="2"/>
    <n v="48"/>
    <n v="3.5634743875278395E-2"/>
  </r>
  <r>
    <x v="3"/>
    <x v="4"/>
    <x v="3"/>
    <x v="3"/>
    <n v="90"/>
    <n v="6.6815144766147E-2"/>
  </r>
  <r>
    <x v="3"/>
    <x v="4"/>
    <x v="3"/>
    <x v="4"/>
    <n v="95"/>
    <n v="7.052709725315516E-2"/>
  </r>
  <r>
    <x v="3"/>
    <x v="4"/>
    <x v="3"/>
    <x v="5"/>
    <n v="39"/>
    <n v="2.8953229398663696E-2"/>
  </r>
  <r>
    <x v="3"/>
    <x v="5"/>
    <x v="3"/>
    <x v="0"/>
    <n v="69"/>
    <n v="5.1224944320712694E-2"/>
  </r>
  <r>
    <x v="3"/>
    <x v="5"/>
    <x v="3"/>
    <x v="1"/>
    <n v="51"/>
    <n v="3.7861915367483297E-2"/>
  </r>
  <r>
    <x v="3"/>
    <x v="5"/>
    <x v="3"/>
    <x v="2"/>
    <n v="82"/>
    <n v="6.0876020786933931E-2"/>
  </r>
  <r>
    <x v="3"/>
    <x v="5"/>
    <x v="3"/>
    <x v="3"/>
    <n v="7"/>
    <n v="5.196733481811433E-3"/>
  </r>
  <r>
    <x v="3"/>
    <x v="5"/>
    <x v="3"/>
    <x v="4"/>
    <n v="5"/>
    <n v="3.7119524870081661E-3"/>
  </r>
  <r>
    <x v="3"/>
    <x v="5"/>
    <x v="3"/>
    <x v="5"/>
    <n v="9"/>
    <n v="6.6815144766146995E-3"/>
  </r>
  <r>
    <x v="4"/>
    <x v="0"/>
    <x v="4"/>
    <x v="0"/>
    <n v="1"/>
    <n v="6.5530799475753605E-4"/>
  </r>
  <r>
    <x v="4"/>
    <x v="0"/>
    <x v="4"/>
    <x v="1"/>
    <n v="1"/>
    <n v="6.5530799475753605E-4"/>
  </r>
  <r>
    <x v="4"/>
    <x v="0"/>
    <x v="4"/>
    <x v="2"/>
    <n v="1"/>
    <n v="6.5530799475753605E-4"/>
  </r>
  <r>
    <x v="4"/>
    <x v="0"/>
    <x v="4"/>
    <x v="3"/>
    <n v="1"/>
    <n v="6.5530799475753605E-4"/>
  </r>
  <r>
    <x v="4"/>
    <x v="0"/>
    <x v="4"/>
    <x v="4"/>
    <n v="1"/>
    <n v="6.5530799475753605E-4"/>
  </r>
  <r>
    <x v="4"/>
    <x v="0"/>
    <x v="4"/>
    <x v="5"/>
    <n v="1"/>
    <n v="6.5530799475753605E-4"/>
  </r>
  <r>
    <x v="4"/>
    <x v="1"/>
    <x v="4"/>
    <x v="0"/>
    <n v="94"/>
    <n v="6.1598951507208385E-2"/>
  </r>
  <r>
    <x v="4"/>
    <x v="1"/>
    <x v="4"/>
    <x v="1"/>
    <n v="46"/>
    <n v="3.0144167758846659E-2"/>
  </r>
  <r>
    <x v="4"/>
    <x v="1"/>
    <x v="4"/>
    <x v="2"/>
    <n v="81"/>
    <n v="5.3079947575360421E-2"/>
  </r>
  <r>
    <x v="4"/>
    <x v="1"/>
    <x v="4"/>
    <x v="3"/>
    <n v="55"/>
    <n v="3.6041939711664479E-2"/>
  </r>
  <r>
    <x v="4"/>
    <x v="1"/>
    <x v="4"/>
    <x v="4"/>
    <n v="67"/>
    <n v="4.3905635648754916E-2"/>
  </r>
  <r>
    <x v="4"/>
    <x v="1"/>
    <x v="4"/>
    <x v="5"/>
    <n v="56"/>
    <n v="3.669724770642202E-2"/>
  </r>
  <r>
    <x v="4"/>
    <x v="2"/>
    <x v="4"/>
    <x v="0"/>
    <n v="8"/>
    <n v="5.2424639580602884E-3"/>
  </r>
  <r>
    <x v="4"/>
    <x v="2"/>
    <x v="4"/>
    <x v="1"/>
    <n v="98"/>
    <n v="6.4220183486238536E-2"/>
  </r>
  <r>
    <x v="4"/>
    <x v="2"/>
    <x v="4"/>
    <x v="2"/>
    <n v="27"/>
    <n v="1.7693315858453473E-2"/>
  </r>
  <r>
    <x v="4"/>
    <x v="2"/>
    <x v="4"/>
    <x v="3"/>
    <n v="19"/>
    <n v="1.2450851900393184E-2"/>
  </r>
  <r>
    <x v="4"/>
    <x v="2"/>
    <x v="4"/>
    <x v="4"/>
    <n v="47"/>
    <n v="3.0799475753604193E-2"/>
  </r>
  <r>
    <x v="4"/>
    <x v="2"/>
    <x v="4"/>
    <x v="5"/>
    <n v="33"/>
    <n v="2.1625163826998691E-2"/>
  </r>
  <r>
    <x v="4"/>
    <x v="3"/>
    <x v="4"/>
    <x v="0"/>
    <n v="40"/>
    <n v="2.621231979030144E-2"/>
  </r>
  <r>
    <x v="4"/>
    <x v="3"/>
    <x v="4"/>
    <x v="1"/>
    <n v="17"/>
    <n v="1.1140235910878113E-2"/>
  </r>
  <r>
    <x v="4"/>
    <x v="3"/>
    <x v="4"/>
    <x v="2"/>
    <n v="36"/>
    <n v="2.3591087811271297E-2"/>
  </r>
  <r>
    <x v="4"/>
    <x v="3"/>
    <x v="4"/>
    <x v="3"/>
    <n v="75"/>
    <n v="4.9148099606815203E-2"/>
  </r>
  <r>
    <x v="4"/>
    <x v="3"/>
    <x v="4"/>
    <x v="4"/>
    <n v="63"/>
    <n v="4.1284403669724773E-2"/>
  </r>
  <r>
    <x v="4"/>
    <x v="3"/>
    <x v="4"/>
    <x v="5"/>
    <n v="90"/>
    <n v="5.8977719528178242E-2"/>
  </r>
  <r>
    <x v="4"/>
    <x v="4"/>
    <x v="4"/>
    <x v="0"/>
    <n v="32"/>
    <n v="2.0969855832241154E-2"/>
  </r>
  <r>
    <x v="4"/>
    <x v="4"/>
    <x v="4"/>
    <x v="1"/>
    <n v="70"/>
    <n v="4.5871559633027525E-2"/>
  </r>
  <r>
    <x v="4"/>
    <x v="4"/>
    <x v="4"/>
    <x v="2"/>
    <n v="46"/>
    <n v="3.0144167758846659E-2"/>
  </r>
  <r>
    <x v="4"/>
    <x v="4"/>
    <x v="4"/>
    <x v="3"/>
    <n v="49"/>
    <n v="3.2110091743119268E-2"/>
  </r>
  <r>
    <x v="4"/>
    <x v="4"/>
    <x v="4"/>
    <x v="4"/>
    <n v="66"/>
    <n v="4.3250327653997382E-2"/>
  </r>
  <r>
    <x v="4"/>
    <x v="4"/>
    <x v="4"/>
    <x v="5"/>
    <n v="61"/>
    <n v="3.9973787680209698E-2"/>
  </r>
  <r>
    <x v="4"/>
    <x v="5"/>
    <x v="4"/>
    <x v="0"/>
    <n v="10"/>
    <n v="6.55307994757536E-3"/>
  </r>
  <r>
    <x v="4"/>
    <x v="5"/>
    <x v="4"/>
    <x v="1"/>
    <n v="32"/>
    <n v="2.0969855832241154E-2"/>
  </r>
  <r>
    <x v="4"/>
    <x v="5"/>
    <x v="4"/>
    <x v="2"/>
    <n v="32"/>
    <n v="2.0969855832241154E-2"/>
  </r>
  <r>
    <x v="4"/>
    <x v="5"/>
    <x v="4"/>
    <x v="3"/>
    <n v="48"/>
    <n v="3.1454783748361727E-2"/>
  </r>
  <r>
    <x v="4"/>
    <x v="5"/>
    <x v="4"/>
    <x v="4"/>
    <n v="88"/>
    <n v="5.7667103538663174E-2"/>
  </r>
  <r>
    <x v="4"/>
    <x v="5"/>
    <x v="4"/>
    <x v="5"/>
    <n v="34"/>
    <n v="2.2280471821756225E-2"/>
  </r>
  <r>
    <x v="5"/>
    <x v="0"/>
    <x v="4"/>
    <x v="0"/>
    <n v="1"/>
    <n v="6.9979006298110562E-4"/>
  </r>
  <r>
    <x v="5"/>
    <x v="0"/>
    <x v="4"/>
    <x v="1"/>
    <n v="1"/>
    <n v="6.9979006298110562E-4"/>
  </r>
  <r>
    <x v="5"/>
    <x v="0"/>
    <x v="4"/>
    <x v="2"/>
    <n v="1"/>
    <n v="6.9979006298110562E-4"/>
  </r>
  <r>
    <x v="5"/>
    <x v="0"/>
    <x v="4"/>
    <x v="3"/>
    <n v="1"/>
    <n v="6.9979006298110562E-4"/>
  </r>
  <r>
    <x v="5"/>
    <x v="0"/>
    <x v="4"/>
    <x v="4"/>
    <n v="1"/>
    <n v="6.9979006298110562E-4"/>
  </r>
  <r>
    <x v="5"/>
    <x v="0"/>
    <x v="4"/>
    <x v="5"/>
    <n v="1"/>
    <n v="6.9979006298110562E-4"/>
  </r>
  <r>
    <x v="5"/>
    <x v="1"/>
    <x v="4"/>
    <x v="0"/>
    <n v="31"/>
    <n v="2.1693491952414275E-2"/>
  </r>
  <r>
    <x v="5"/>
    <x v="1"/>
    <x v="4"/>
    <x v="1"/>
    <n v="66"/>
    <n v="4.6186144156752977E-2"/>
  </r>
  <r>
    <x v="5"/>
    <x v="1"/>
    <x v="4"/>
    <x v="2"/>
    <n v="81"/>
    <n v="5.6682995101469562E-2"/>
  </r>
  <r>
    <x v="5"/>
    <x v="1"/>
    <x v="4"/>
    <x v="3"/>
    <n v="7"/>
    <n v="4.8985304408677398E-3"/>
  </r>
  <r>
    <x v="5"/>
    <x v="1"/>
    <x v="4"/>
    <x v="4"/>
    <n v="74"/>
    <n v="5.1784464660601819E-2"/>
  </r>
  <r>
    <x v="5"/>
    <x v="1"/>
    <x v="4"/>
    <x v="5"/>
    <n v="76"/>
    <n v="5.3184044786564029E-2"/>
  </r>
  <r>
    <x v="5"/>
    <x v="2"/>
    <x v="4"/>
    <x v="0"/>
    <n v="31"/>
    <n v="2.1693491952414275E-2"/>
  </r>
  <r>
    <x v="5"/>
    <x v="2"/>
    <x v="4"/>
    <x v="1"/>
    <n v="13"/>
    <n v="9.0972708187543744E-3"/>
  </r>
  <r>
    <x v="5"/>
    <x v="2"/>
    <x v="4"/>
    <x v="2"/>
    <n v="66"/>
    <n v="4.6186144156752977E-2"/>
  </r>
  <r>
    <x v="5"/>
    <x v="2"/>
    <x v="4"/>
    <x v="3"/>
    <n v="41"/>
    <n v="2.8691392582225334E-2"/>
  </r>
  <r>
    <x v="5"/>
    <x v="2"/>
    <x v="4"/>
    <x v="4"/>
    <n v="55"/>
    <n v="3.8488453463960813E-2"/>
  </r>
  <r>
    <x v="5"/>
    <x v="2"/>
    <x v="4"/>
    <x v="5"/>
    <n v="48"/>
    <n v="3.358992302309307E-2"/>
  </r>
  <r>
    <x v="5"/>
    <x v="3"/>
    <x v="4"/>
    <x v="0"/>
    <n v="28"/>
    <n v="1.9594121763470959E-2"/>
  </r>
  <r>
    <x v="5"/>
    <x v="3"/>
    <x v="4"/>
    <x v="1"/>
    <n v="83"/>
    <n v="5.8082575227431772E-2"/>
  </r>
  <r>
    <x v="5"/>
    <x v="3"/>
    <x v="4"/>
    <x v="2"/>
    <n v="63"/>
    <n v="4.4086773967809655E-2"/>
  </r>
  <r>
    <x v="5"/>
    <x v="3"/>
    <x v="4"/>
    <x v="3"/>
    <n v="36"/>
    <n v="2.5192442267319804E-2"/>
  </r>
  <r>
    <x v="5"/>
    <x v="3"/>
    <x v="4"/>
    <x v="4"/>
    <n v="92"/>
    <n v="6.4380685794261719E-2"/>
  </r>
  <r>
    <x v="5"/>
    <x v="3"/>
    <x v="4"/>
    <x v="5"/>
    <n v="56"/>
    <n v="3.9188243526941918E-2"/>
  </r>
  <r>
    <x v="5"/>
    <x v="4"/>
    <x v="4"/>
    <x v="0"/>
    <n v="66"/>
    <n v="4.6186144156752977E-2"/>
  </r>
  <r>
    <x v="5"/>
    <x v="4"/>
    <x v="4"/>
    <x v="1"/>
    <n v="62"/>
    <n v="4.3386983904828549E-2"/>
  </r>
  <r>
    <x v="5"/>
    <x v="4"/>
    <x v="4"/>
    <x v="2"/>
    <n v="56"/>
    <n v="3.9188243526941918E-2"/>
  </r>
  <r>
    <x v="5"/>
    <x v="4"/>
    <x v="4"/>
    <x v="3"/>
    <n v="16"/>
    <n v="1.119664100769769E-2"/>
  </r>
  <r>
    <x v="5"/>
    <x v="4"/>
    <x v="4"/>
    <x v="4"/>
    <n v="43"/>
    <n v="3.0090972708187544E-2"/>
  </r>
  <r>
    <x v="5"/>
    <x v="4"/>
    <x v="4"/>
    <x v="5"/>
    <n v="6"/>
    <n v="4.1987403778866337E-3"/>
  </r>
  <r>
    <x v="5"/>
    <x v="5"/>
    <x v="4"/>
    <x v="0"/>
    <n v="7"/>
    <n v="4.8985304408677398E-3"/>
  </r>
  <r>
    <x v="5"/>
    <x v="5"/>
    <x v="4"/>
    <x v="1"/>
    <n v="60"/>
    <n v="4.1987403778866339E-2"/>
  </r>
  <r>
    <x v="5"/>
    <x v="5"/>
    <x v="4"/>
    <x v="2"/>
    <n v="85"/>
    <n v="5.9482155353393983E-2"/>
  </r>
  <r>
    <x v="5"/>
    <x v="5"/>
    <x v="4"/>
    <x v="3"/>
    <n v="63"/>
    <n v="4.4086773967809655E-2"/>
  </r>
  <r>
    <x v="5"/>
    <x v="5"/>
    <x v="4"/>
    <x v="4"/>
    <n v="6"/>
    <n v="4.1987403778866337E-3"/>
  </r>
  <r>
    <x v="5"/>
    <x v="5"/>
    <x v="4"/>
    <x v="5"/>
    <n v="6"/>
    <n v="4.1987403778866337E-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395B8-7026-4922-BE32-DD6B59FCDB2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ource Bar" colHeaderCaption=" SourceCategory">
  <location ref="M5:T13" firstHeaderRow="1" firstDataRow="2" firstDataCol="1"/>
  <pivotFields count="6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Col" showAll="0">
      <items count="7">
        <item x="1"/>
        <item x="2"/>
        <item x="3"/>
        <item x="4"/>
        <item x="5"/>
        <item x="0"/>
        <item t="default"/>
      </items>
    </pivotField>
    <pivotField showAll="0"/>
    <pivotField showAll="0"/>
    <pivotField dataField="1" showAll="0"/>
    <pivotField numFmtId="9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 " fld="4" baseField="0" baseItem="0"/>
  </dataFields>
  <formats count="12">
    <format dxfId="29">
      <pivotArea outline="0" collapsedLevelsAreSubtotals="1" fieldPosition="0"/>
    </format>
    <format dxfId="28">
      <pivotArea outline="0" fieldPosition="0">
        <references count="1">
          <reference field="4294967294" count="1">
            <x v="0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type="origin" dataOnly="0" labelOnly="1" outline="0" fieldPosition="0"/>
    </format>
    <format dxfId="24">
      <pivotArea field="1" type="button" dataOnly="0" labelOnly="1" outline="0" axis="axisCol" fieldPosition="0"/>
    </format>
    <format dxfId="23">
      <pivotArea type="topRight" dataOnly="0" labelOnly="1" outline="0" fieldPosition="0"/>
    </format>
    <format dxfId="22">
      <pivotArea field="0" type="button" dataOnly="0" labelOnly="1" outline="0" axis="axisRow" fieldPosition="0"/>
    </format>
    <format dxfId="21">
      <pivotArea dataOnly="0" labelOnly="1" fieldPosition="0">
        <references count="1">
          <reference field="0" count="0"/>
        </references>
      </pivotArea>
    </format>
    <format dxfId="20">
      <pivotArea dataOnly="0" labelOnly="1" grandRow="1" outline="0" fieldPosition="0"/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30BF94-1E87-4707-8360-ED6207937829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showHeaders="0" outline="1" outlineData="1" multipleFieldFilters="0">
  <location ref="M24:AW69" firstHeaderRow="1" firstDataRow="3" firstDataCol="1"/>
  <pivotFields count="6"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7">
        <item x="1"/>
        <item x="2"/>
        <item x="3"/>
        <item x="4"/>
        <item x="5"/>
        <item x="0"/>
        <item t="default"/>
      </items>
    </pivotField>
    <pivotField axis="axisCol" showAll="0">
      <items count="6">
        <item x="0"/>
        <item x="1"/>
        <item x="2"/>
        <item x="3"/>
        <item x="4"/>
        <item t="default"/>
      </items>
    </pivotField>
    <pivotField axis="axisCol" showAll="0">
      <items count="7">
        <item x="1"/>
        <item x="2"/>
        <item x="3"/>
        <item x="4"/>
        <item x="5"/>
        <item x="0"/>
        <item t="default"/>
      </items>
    </pivotField>
    <pivotField dataField="1" showAll="0"/>
    <pivotField numFmtId="9" showAll="0"/>
  </pivotFields>
  <rowFields count="2">
    <field x="0"/>
    <field x="1"/>
  </rowFields>
  <rowItems count="43">
    <i>
      <x/>
    </i>
    <i r="1">
      <x/>
    </i>
    <i r="1">
      <x v="1"/>
    </i>
    <i r="1">
      <x v="2"/>
    </i>
    <i r="1">
      <x v="3"/>
    </i>
    <i r="1">
      <x v="4"/>
    </i>
    <i r="1">
      <x v="5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t="grand">
      <x/>
    </i>
  </rowItems>
  <colFields count="2">
    <field x="2"/>
    <field x="3"/>
  </colFields>
  <colItems count="36">
    <i>
      <x/>
      <x/>
    </i>
    <i r="1">
      <x v="1"/>
    </i>
    <i r="1">
      <x v="2"/>
    </i>
    <i r="1">
      <x v="3"/>
    </i>
    <i r="1">
      <x v="4"/>
    </i>
    <i r="1">
      <x v="5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t="default">
      <x v="3"/>
    </i>
    <i>
      <x v="4"/>
      <x/>
    </i>
    <i r="1">
      <x v="1"/>
    </i>
    <i r="1">
      <x v="2"/>
    </i>
    <i r="1">
      <x v="3"/>
    </i>
    <i r="1">
      <x v="4"/>
    </i>
    <i r="1">
      <x v="5"/>
    </i>
    <i t="default">
      <x v="4"/>
    </i>
    <i t="grand">
      <x/>
    </i>
  </colItems>
  <dataFields count="1">
    <dataField name="Sum of value" fld="4" baseField="0" baseItem="0"/>
  </dataFields>
  <formats count="20">
    <format dxfId="49">
      <pivotArea type="all" dataOnly="0" outline="0" fieldPosition="0"/>
    </format>
    <format dxfId="48">
      <pivotArea outline="0" collapsedLevelsAreSubtotals="1" fieldPosition="0"/>
    </format>
    <format dxfId="47">
      <pivotArea type="origin" dataOnly="0" labelOnly="1" outline="0" fieldPosition="0"/>
    </format>
    <format dxfId="46">
      <pivotArea type="topRight" dataOnly="0" labelOnly="1" outline="0" fieldPosition="0"/>
    </format>
    <format dxfId="45">
      <pivotArea dataOnly="0" labelOnly="1" fieldPosition="0">
        <references count="1">
          <reference field="0" count="0"/>
        </references>
      </pivotArea>
    </format>
    <format dxfId="44">
      <pivotArea dataOnly="0" labelOnly="1" grandRow="1" outline="0" fieldPosition="0"/>
    </format>
    <format dxfId="43">
      <pivotArea dataOnly="0" labelOnly="1" fieldPosition="0">
        <references count="2">
          <reference field="0" count="1" selected="0">
            <x v="0"/>
          </reference>
          <reference field="1" count="0"/>
        </references>
      </pivotArea>
    </format>
    <format dxfId="42">
      <pivotArea dataOnly="0" labelOnly="1" fieldPosition="0">
        <references count="2">
          <reference field="0" count="1" selected="0">
            <x v="1"/>
          </reference>
          <reference field="1" count="0"/>
        </references>
      </pivotArea>
    </format>
    <format dxfId="41">
      <pivotArea dataOnly="0" labelOnly="1" fieldPosition="0">
        <references count="2">
          <reference field="0" count="1" selected="0">
            <x v="2"/>
          </reference>
          <reference field="1" count="0"/>
        </references>
      </pivotArea>
    </format>
    <format dxfId="40">
      <pivotArea dataOnly="0" labelOnly="1" fieldPosition="0">
        <references count="2">
          <reference field="0" count="1" selected="0">
            <x v="3"/>
          </reference>
          <reference field="1" count="0"/>
        </references>
      </pivotArea>
    </format>
    <format dxfId="39">
      <pivotArea dataOnly="0" labelOnly="1" fieldPosition="0">
        <references count="2">
          <reference field="0" count="1" selected="0">
            <x v="4"/>
          </reference>
          <reference field="1" count="0"/>
        </references>
      </pivotArea>
    </format>
    <format dxfId="38">
      <pivotArea dataOnly="0" labelOnly="1" fieldPosition="0">
        <references count="2">
          <reference field="0" count="1" selected="0">
            <x v="5"/>
          </reference>
          <reference field="1" count="0"/>
        </references>
      </pivotArea>
    </format>
    <format dxfId="37">
      <pivotArea dataOnly="0" labelOnly="1" fieldPosition="0">
        <references count="1">
          <reference field="2" count="0"/>
        </references>
      </pivotArea>
    </format>
    <format dxfId="36">
      <pivotArea dataOnly="0" labelOnly="1" fieldPosition="0">
        <references count="1">
          <reference field="2" count="0" defaultSubtotal="1"/>
        </references>
      </pivotArea>
    </format>
    <format dxfId="35">
      <pivotArea dataOnly="0" labelOnly="1" grandCol="1" outline="0" fieldPosition="0"/>
    </format>
    <format dxfId="34">
      <pivotArea dataOnly="0" labelOnly="1" fieldPosition="0">
        <references count="2">
          <reference field="2" count="1" selected="0">
            <x v="0"/>
          </reference>
          <reference field="3" count="0"/>
        </references>
      </pivotArea>
    </format>
    <format dxfId="33">
      <pivotArea dataOnly="0" labelOnly="1" fieldPosition="0">
        <references count="2">
          <reference field="2" count="1" selected="0">
            <x v="1"/>
          </reference>
          <reference field="3" count="0"/>
        </references>
      </pivotArea>
    </format>
    <format dxfId="32">
      <pivotArea dataOnly="0" labelOnly="1" fieldPosition="0">
        <references count="2">
          <reference field="2" count="1" selected="0">
            <x v="2"/>
          </reference>
          <reference field="3" count="0"/>
        </references>
      </pivotArea>
    </format>
    <format dxfId="31">
      <pivotArea dataOnly="0" labelOnly="1" fieldPosition="0">
        <references count="2">
          <reference field="2" count="1" selected="0">
            <x v="3"/>
          </reference>
          <reference field="3" count="0"/>
        </references>
      </pivotArea>
    </format>
    <format dxfId="30">
      <pivotArea dataOnly="0" labelOnly="1" fieldPosition="0">
        <references count="2">
          <reference field="2" count="1" selected="0">
            <x v="4"/>
          </reference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BECD59-E338-4C81-80DD-8384A57F6921}" name="Table1" displayName="Table1" ref="A1:N53" totalsRowShown="0" headerRowDxfId="4" dataDxfId="3" headerRowBorderDxfId="52" tableBorderDxfId="51" totalsRowBorderDxfId="50">
  <autoFilter ref="A1:N53" xr:uid="{70BECD59-E338-4C81-80DD-8384A57F6921}"/>
  <tableColumns count="14">
    <tableColumn id="1" xr3:uid="{ABDD5379-A070-4AC8-9045-4B9326159A96}" name="master_name" dataDxfId="17"/>
    <tableColumn id="2" xr3:uid="{6501B7E9-2103-4B9C-BC8B-35DAC3E22ACF}" name="layout_name" dataDxfId="16"/>
    <tableColumn id="3" xr3:uid="{1E42AECD-569C-491B-895D-BA048F08C888}" name="element_name" dataDxfId="15"/>
    <tableColumn id="4" xr3:uid="{6C2F7F61-6F8A-4286-B397-AA9A7A8EEA6A}" name="shape_index" dataDxfId="14"/>
    <tableColumn id="5" xr3:uid="{C80150FA-01A6-4124-BE7D-501DEA06AE76}" name="text" dataDxfId="13"/>
    <tableColumn id="6" xr3:uid="{ABCBED1D-93EC-4B7D-BF03-D9CFABE6D403}" name="chart_hash" dataDxfId="12"/>
    <tableColumn id="7" xr3:uid="{0AA5CFCF-89FC-404B-919A-6B187229BAAF}" name="chart_data" dataDxfId="11"/>
    <tableColumn id="8" xr3:uid="{FE975A44-09F5-48D4-B3B0-D0D6B68187B3}" name="chart_data_dict" dataDxfId="10"/>
    <tableColumn id="9" xr3:uid="{12284F2C-9564-47B4-BD22-8B6A80822A88}" name="image_link" dataDxfId="9"/>
    <tableColumn id="10" xr3:uid="{4C127704-43FD-4778-A3A8-EB7C32C8472B}" name="run" dataDxfId="8"/>
    <tableColumn id="11" xr3:uid="{C80937FB-2163-4ABC-9361-2D20EC9625BC}" name="slide_hash" dataDxfId="2">
      <calculatedColumnFormula>M2&amp;"."&amp;A2&amp;"."&amp;B2&amp;"."&amp;F2</calculatedColumnFormula>
    </tableColumn>
    <tableColumn id="12" xr3:uid="{21E93247-80D2-46F3-AFEF-CB2406972E0D}" name="py_override" dataDxfId="7"/>
    <tableColumn id="13" xr3:uid="{877EA31B-38CE-4605-BD0C-FBEAAB45C360}" name="to_slide" dataDxfId="6"/>
    <tableColumn id="14" xr3:uid="{8ED86708-EA65-40F3-87C4-E6A2647674C0}" name="Column1" dataDxfId="5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FD469-C649-413D-A0C3-8E7D6D323EC7}">
  <sheetPr codeName="Sheet6"/>
  <dimension ref="A1:F23"/>
  <sheetViews>
    <sheetView showGridLines="0" zoomScale="90" zoomScaleNormal="90" workbookViewId="0">
      <pane ySplit="1" topLeftCell="A2" activePane="bottomLeft" state="frozen"/>
      <selection pane="bottomLeft"/>
    </sheetView>
  </sheetViews>
  <sheetFormatPr defaultColWidth="9.140625" defaultRowHeight="15" x14ac:dyDescent="0.25"/>
  <cols>
    <col min="1" max="1" width="7.85546875" style="5" bestFit="1" customWidth="1"/>
    <col min="2" max="2" width="128.140625" style="5" bestFit="1" customWidth="1"/>
    <col min="3" max="3" width="13.42578125" style="5" bestFit="1" customWidth="1"/>
    <col min="4" max="4" width="9.7109375" style="5" bestFit="1" customWidth="1"/>
    <col min="5" max="5" width="10.28515625" style="5" bestFit="1" customWidth="1"/>
    <col min="6" max="6" width="15" style="5" bestFit="1" customWidth="1"/>
    <col min="7" max="16384" width="9.140625" style="5"/>
  </cols>
  <sheetData>
    <row r="1" spans="1:6" x14ac:dyDescent="0.25">
      <c r="A1" s="9" t="s">
        <v>117</v>
      </c>
      <c r="B1" s="9" t="s">
        <v>75</v>
      </c>
      <c r="C1" s="9" t="s">
        <v>85</v>
      </c>
      <c r="D1" s="9" t="s">
        <v>78</v>
      </c>
      <c r="E1" s="9" t="s">
        <v>76</v>
      </c>
      <c r="F1" s="9" t="s">
        <v>81</v>
      </c>
    </row>
    <row r="2" spans="1:6" x14ac:dyDescent="0.25">
      <c r="A2" s="9">
        <v>0</v>
      </c>
      <c r="B2" s="9" t="s">
        <v>103</v>
      </c>
      <c r="C2" s="9" t="s">
        <v>79</v>
      </c>
      <c r="D2" s="9" t="s">
        <v>79</v>
      </c>
      <c r="E2" s="9" t="s">
        <v>79</v>
      </c>
      <c r="F2" s="9" t="s">
        <v>84</v>
      </c>
    </row>
    <row r="3" spans="1:6" x14ac:dyDescent="0.25">
      <c r="A3" s="9">
        <v>1</v>
      </c>
      <c r="B3" s="9" t="s">
        <v>127</v>
      </c>
      <c r="C3" s="9" t="s">
        <v>97</v>
      </c>
      <c r="D3" s="9" t="s">
        <v>79</v>
      </c>
      <c r="E3" s="9" t="s">
        <v>79</v>
      </c>
      <c r="F3" s="9" t="s">
        <v>84</v>
      </c>
    </row>
    <row r="4" spans="1:6" x14ac:dyDescent="0.25">
      <c r="A4" s="9">
        <v>2</v>
      </c>
      <c r="B4" s="9" t="s">
        <v>148</v>
      </c>
      <c r="C4" s="9" t="s">
        <v>79</v>
      </c>
      <c r="D4" s="9" t="s">
        <v>77</v>
      </c>
      <c r="E4" s="9" t="s">
        <v>77</v>
      </c>
      <c r="F4" s="9" t="s">
        <v>84</v>
      </c>
    </row>
    <row r="5" spans="1:6" x14ac:dyDescent="0.25">
      <c r="A5" s="9">
        <v>3</v>
      </c>
      <c r="B5" s="9" t="s">
        <v>104</v>
      </c>
      <c r="C5" s="9" t="s">
        <v>79</v>
      </c>
      <c r="D5" s="9" t="s">
        <v>79</v>
      </c>
      <c r="E5" s="9" t="s">
        <v>79</v>
      </c>
      <c r="F5" s="9" t="s">
        <v>82</v>
      </c>
    </row>
    <row r="6" spans="1:6" x14ac:dyDescent="0.25">
      <c r="A6" s="9">
        <v>900</v>
      </c>
      <c r="B6" s="9" t="s">
        <v>80</v>
      </c>
      <c r="C6" s="9" t="s">
        <v>79</v>
      </c>
      <c r="D6" s="9" t="s">
        <v>79</v>
      </c>
      <c r="E6" s="9" t="s">
        <v>77</v>
      </c>
      <c r="F6" s="9" t="s">
        <v>82</v>
      </c>
    </row>
    <row r="7" spans="1:6" x14ac:dyDescent="0.25">
      <c r="A7" s="9">
        <v>999</v>
      </c>
      <c r="B7" s="9" t="s">
        <v>147</v>
      </c>
      <c r="C7" s="9" t="s">
        <v>97</v>
      </c>
      <c r="D7" s="9" t="s">
        <v>97</v>
      </c>
      <c r="E7" s="9" t="s">
        <v>97</v>
      </c>
      <c r="F7" s="9" t="s">
        <v>82</v>
      </c>
    </row>
    <row r="8" spans="1:6" x14ac:dyDescent="0.25">
      <c r="A8" s="9">
        <v>999</v>
      </c>
      <c r="B8" s="9" t="s">
        <v>83</v>
      </c>
      <c r="C8" s="9" t="s">
        <v>79</v>
      </c>
      <c r="D8" s="9" t="s">
        <v>79</v>
      </c>
      <c r="E8" s="9" t="s">
        <v>79</v>
      </c>
      <c r="F8" s="9" t="s">
        <v>84</v>
      </c>
    </row>
    <row r="9" spans="1:6" x14ac:dyDescent="0.25">
      <c r="A9" s="9">
        <v>999</v>
      </c>
      <c r="B9" s="9" t="s">
        <v>154</v>
      </c>
      <c r="C9" s="9" t="s">
        <v>79</v>
      </c>
      <c r="D9" s="9" t="s">
        <v>79</v>
      </c>
      <c r="E9" s="9" t="s">
        <v>79</v>
      </c>
      <c r="F9" s="9" t="s">
        <v>84</v>
      </c>
    </row>
    <row r="10" spans="1:6" x14ac:dyDescent="0.25">
      <c r="A10" s="9">
        <v>999</v>
      </c>
      <c r="B10" s="9" t="s">
        <v>98</v>
      </c>
      <c r="C10" s="9" t="s">
        <v>79</v>
      </c>
      <c r="D10" s="9" t="s">
        <v>79</v>
      </c>
      <c r="E10" s="9" t="s">
        <v>79</v>
      </c>
      <c r="F10" s="9" t="s">
        <v>84</v>
      </c>
    </row>
    <row r="11" spans="1:6" x14ac:dyDescent="0.25">
      <c r="A11" s="9" t="s">
        <v>116</v>
      </c>
      <c r="B11" s="9" t="s">
        <v>118</v>
      </c>
      <c r="C11" s="9" t="s">
        <v>79</v>
      </c>
      <c r="D11" s="9" t="s">
        <v>79</v>
      </c>
      <c r="E11" s="9" t="s">
        <v>77</v>
      </c>
      <c r="F11" s="9" t="s">
        <v>82</v>
      </c>
    </row>
    <row r="12" spans="1:6" x14ac:dyDescent="0.25">
      <c r="A12" s="9" t="s">
        <v>116</v>
      </c>
      <c r="B12" s="9" t="s">
        <v>131</v>
      </c>
      <c r="C12" s="9" t="s">
        <v>79</v>
      </c>
      <c r="D12" s="9" t="s">
        <v>79</v>
      </c>
      <c r="E12" s="9" t="s">
        <v>79</v>
      </c>
      <c r="F12" s="9" t="s">
        <v>84</v>
      </c>
    </row>
    <row r="13" spans="1:6" x14ac:dyDescent="0.25">
      <c r="A13" s="9" t="s">
        <v>116</v>
      </c>
      <c r="B13" s="9" t="s">
        <v>146</v>
      </c>
      <c r="C13" s="9" t="s">
        <v>79</v>
      </c>
      <c r="D13" s="9" t="s">
        <v>79</v>
      </c>
      <c r="E13" s="9" t="s">
        <v>79</v>
      </c>
      <c r="F13" s="9" t="s">
        <v>84</v>
      </c>
    </row>
    <row r="14" spans="1:6" x14ac:dyDescent="0.25">
      <c r="A14" s="9" t="s">
        <v>119</v>
      </c>
      <c r="B14" s="9" t="s">
        <v>120</v>
      </c>
      <c r="C14" s="9" t="s">
        <v>79</v>
      </c>
      <c r="D14" s="9" t="s">
        <v>121</v>
      </c>
      <c r="E14" s="9" t="s">
        <v>121</v>
      </c>
      <c r="F14" s="9" t="s">
        <v>82</v>
      </c>
    </row>
    <row r="15" spans="1:6" x14ac:dyDescent="0.25">
      <c r="A15" s="9" t="s">
        <v>155</v>
      </c>
      <c r="B15" s="9" t="s">
        <v>156</v>
      </c>
      <c r="C15" s="9" t="s">
        <v>77</v>
      </c>
      <c r="D15" s="9" t="s">
        <v>79</v>
      </c>
      <c r="E15" s="9" t="s">
        <v>79</v>
      </c>
      <c r="F15" s="9" t="s">
        <v>82</v>
      </c>
    </row>
    <row r="16" spans="1:6" x14ac:dyDescent="0.25">
      <c r="A16" s="9" t="s">
        <v>116</v>
      </c>
      <c r="B16" s="9" t="s">
        <v>233</v>
      </c>
      <c r="C16" s="9" t="s">
        <v>79</v>
      </c>
      <c r="D16" s="9" t="s">
        <v>79</v>
      </c>
      <c r="E16" s="9" t="s">
        <v>79</v>
      </c>
      <c r="F16" s="9" t="s">
        <v>82</v>
      </c>
    </row>
    <row r="17" spans="1:6" x14ac:dyDescent="0.25">
      <c r="A17" s="9"/>
      <c r="B17" s="9"/>
      <c r="C17" s="9"/>
      <c r="D17" s="9"/>
      <c r="E17" s="9"/>
      <c r="F17" s="9"/>
    </row>
    <row r="18" spans="1:6" x14ac:dyDescent="0.25">
      <c r="A18" s="9"/>
      <c r="B18" s="9"/>
      <c r="C18" s="9"/>
      <c r="D18" s="9"/>
      <c r="E18" s="9"/>
      <c r="F18" s="9"/>
    </row>
    <row r="19" spans="1:6" x14ac:dyDescent="0.25">
      <c r="A19" s="9"/>
      <c r="B19" s="9"/>
      <c r="C19" s="9"/>
      <c r="D19" s="9"/>
      <c r="E19" s="9"/>
      <c r="F19" s="9"/>
    </row>
    <row r="20" spans="1:6" x14ac:dyDescent="0.25">
      <c r="A20" s="9"/>
      <c r="B20" s="9"/>
      <c r="C20" s="9"/>
      <c r="D20" s="9"/>
      <c r="E20" s="9"/>
      <c r="F20" s="9"/>
    </row>
    <row r="21" spans="1:6" x14ac:dyDescent="0.25">
      <c r="A21" s="9"/>
      <c r="B21" s="9"/>
      <c r="C21" s="9"/>
      <c r="D21" s="9"/>
      <c r="E21" s="9"/>
      <c r="F21" s="9"/>
    </row>
    <row r="22" spans="1:6" x14ac:dyDescent="0.25">
      <c r="A22" s="9"/>
      <c r="B22" s="9"/>
      <c r="C22" s="9"/>
      <c r="D22" s="9"/>
      <c r="E22" s="9"/>
      <c r="F22" s="9"/>
    </row>
    <row r="23" spans="1:6" x14ac:dyDescent="0.25">
      <c r="A23" s="9"/>
      <c r="B23" s="9"/>
      <c r="C23" s="9"/>
      <c r="D23" s="9"/>
      <c r="E23" s="9"/>
      <c r="F23" s="9"/>
    </row>
  </sheetData>
  <autoFilter ref="A1:F7" xr:uid="{95BFD469-C649-413D-A0C3-8E7D6D323EC7}">
    <sortState xmlns:xlrd2="http://schemas.microsoft.com/office/spreadsheetml/2017/richdata2" ref="A2:F14">
      <sortCondition ref="A1:A7"/>
    </sortState>
  </autoFilter>
  <conditionalFormatting sqref="F1:F1048576">
    <cfRule type="containsText" dxfId="1" priority="1" operator="containsText" text="Close">
      <formula>NOT(ISERROR(SEARCH("Close",F1)))</formula>
    </cfRule>
    <cfRule type="containsText" dxfId="0" priority="2" operator="containsText" text="Open">
      <formula>NOT(ISERROR(SEARCH("Open",F1)))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928D4-E8C1-4CFB-8322-1D8B152BD8B6}">
  <sheetPr codeName="Sheet17"/>
  <dimension ref="A1:C20"/>
  <sheetViews>
    <sheetView zoomScale="90" zoomScaleNormal="90" workbookViewId="0">
      <pane ySplit="1" topLeftCell="A2" activePane="bottomLeft" state="frozen"/>
      <selection activeCell="D1" sqref="D1"/>
      <selection pane="bottomLeft"/>
    </sheetView>
  </sheetViews>
  <sheetFormatPr defaultColWidth="9.140625" defaultRowHeight="15" x14ac:dyDescent="0.25"/>
  <cols>
    <col min="1" max="1" width="16.7109375" style="5" bestFit="1" customWidth="1"/>
    <col min="2" max="2" width="13.42578125" style="5" bestFit="1" customWidth="1"/>
    <col min="3" max="3" width="43.42578125" style="5" bestFit="1" customWidth="1"/>
    <col min="4" max="16384" width="9.140625" style="5"/>
  </cols>
  <sheetData>
    <row r="1" spans="1:3" x14ac:dyDescent="0.25">
      <c r="A1" s="2" t="s">
        <v>134</v>
      </c>
      <c r="B1" s="2" t="s">
        <v>126</v>
      </c>
      <c r="C1" s="2" t="s">
        <v>133</v>
      </c>
    </row>
    <row r="2" spans="1:3" x14ac:dyDescent="0.25">
      <c r="A2" s="2" t="s">
        <v>135</v>
      </c>
      <c r="B2" s="2" t="s">
        <v>132</v>
      </c>
      <c r="C2" s="2" t="s">
        <v>136</v>
      </c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7" spans="1:3" x14ac:dyDescent="0.25">
      <c r="A7" s="2"/>
      <c r="B7" s="2"/>
      <c r="C7" s="2"/>
    </row>
    <row r="8" spans="1:3" x14ac:dyDescent="0.25">
      <c r="A8" s="2"/>
      <c r="B8" s="2"/>
      <c r="C8" s="2"/>
    </row>
    <row r="9" spans="1:3" x14ac:dyDescent="0.25">
      <c r="A9" s="2"/>
      <c r="B9" s="2"/>
      <c r="C9" s="2"/>
    </row>
    <row r="10" spans="1:3" x14ac:dyDescent="0.25">
      <c r="A10" s="2"/>
      <c r="B10" s="2"/>
      <c r="C10" s="2"/>
    </row>
    <row r="11" spans="1:3" x14ac:dyDescent="0.25">
      <c r="A11" s="2"/>
      <c r="B11" s="2"/>
      <c r="C11" s="2"/>
    </row>
    <row r="12" spans="1:3" x14ac:dyDescent="0.25">
      <c r="A12" s="2"/>
      <c r="B12" s="2"/>
      <c r="C12" s="2"/>
    </row>
    <row r="13" spans="1:3" x14ac:dyDescent="0.25">
      <c r="A13" s="2"/>
      <c r="B13" s="2"/>
      <c r="C13" s="2"/>
    </row>
    <row r="14" spans="1:3" x14ac:dyDescent="0.25">
      <c r="A14" s="2"/>
      <c r="B14" s="2"/>
      <c r="C14" s="2"/>
    </row>
    <row r="15" spans="1:3" x14ac:dyDescent="0.25">
      <c r="A15" s="2"/>
      <c r="B15" s="2"/>
      <c r="C15" s="2"/>
    </row>
    <row r="16" spans="1:3" x14ac:dyDescent="0.25">
      <c r="A16" s="2"/>
      <c r="B16" s="2"/>
      <c r="C16" s="2"/>
    </row>
    <row r="17" spans="1:3" x14ac:dyDescent="0.25">
      <c r="A17" s="2"/>
      <c r="B17" s="2"/>
      <c r="C17" s="2"/>
    </row>
    <row r="18" spans="1:3" x14ac:dyDescent="0.25">
      <c r="A18" s="2"/>
      <c r="B18" s="2"/>
      <c r="C18" s="2"/>
    </row>
    <row r="19" spans="1:3" x14ac:dyDescent="0.25">
      <c r="A19" s="2"/>
      <c r="B19" s="2"/>
      <c r="C19" s="2"/>
    </row>
    <row r="20" spans="1:3" x14ac:dyDescent="0.25">
      <c r="A20" s="2"/>
      <c r="B20" s="2"/>
      <c r="C20" s="2"/>
    </row>
  </sheetData>
  <autoFilter ref="A1:C2" xr:uid="{1E6928D4-E8C1-4CFB-8322-1D8B152BD8B6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99113-A459-4F3C-9A36-1D8BAB61F701}">
  <sheetPr codeName="Sheet1" filterMode="1"/>
  <dimension ref="A1:O53"/>
  <sheetViews>
    <sheetView showGridLines="0" zoomScale="90" zoomScaleNormal="90" workbookViewId="0">
      <pane ySplit="1" topLeftCell="A2" activePane="bottomLeft" state="frozen"/>
      <selection pane="bottomLeft" activeCell="H13" sqref="H13"/>
    </sheetView>
  </sheetViews>
  <sheetFormatPr defaultColWidth="0" defaultRowHeight="15" x14ac:dyDescent="0.25"/>
  <cols>
    <col min="1" max="1" width="15.7109375" style="1" bestFit="1" customWidth="1"/>
    <col min="2" max="2" width="15" style="1" bestFit="1" customWidth="1"/>
    <col min="3" max="3" width="17.140625" style="1" bestFit="1" customWidth="1"/>
    <col min="4" max="4" width="14.7109375" style="1" bestFit="1" customWidth="1"/>
    <col min="5" max="5" width="42.28515625" style="1" bestFit="1" customWidth="1"/>
    <col min="6" max="6" width="23.140625" style="1" bestFit="1" customWidth="1"/>
    <col min="7" max="7" width="20.5703125" style="1" bestFit="1" customWidth="1"/>
    <col min="8" max="8" width="38.5703125" style="1" bestFit="1" customWidth="1"/>
    <col min="9" max="9" width="17.28515625" style="1" customWidth="1"/>
    <col min="10" max="10" width="6.7109375" style="1" bestFit="1" customWidth="1"/>
    <col min="11" max="11" width="42" style="1" bestFit="1" customWidth="1"/>
    <col min="12" max="12" width="14.140625" style="1" bestFit="1" customWidth="1"/>
    <col min="13" max="13" width="10.7109375" style="1" bestFit="1" customWidth="1"/>
    <col min="14" max="15" width="0" style="1" hidden="1" customWidth="1"/>
    <col min="16" max="16384" width="9.140625" style="1" hidden="1"/>
  </cols>
  <sheetData>
    <row r="1" spans="1:13" x14ac:dyDescent="0.25">
      <c r="A1" s="2" t="s">
        <v>10</v>
      </c>
      <c r="B1" s="2" t="s">
        <v>1</v>
      </c>
      <c r="C1" s="2" t="s">
        <v>11</v>
      </c>
      <c r="D1" s="2" t="s">
        <v>12</v>
      </c>
      <c r="E1" s="2" t="s">
        <v>13</v>
      </c>
      <c r="F1" s="2" t="s">
        <v>126</v>
      </c>
      <c r="G1" s="2" t="s">
        <v>15</v>
      </c>
      <c r="H1" s="2" t="s">
        <v>24</v>
      </c>
      <c r="I1" s="2" t="s">
        <v>16</v>
      </c>
      <c r="J1" s="2" t="s">
        <v>0</v>
      </c>
      <c r="K1" s="11" t="s">
        <v>151</v>
      </c>
      <c r="L1" s="2" t="s">
        <v>128</v>
      </c>
      <c r="M1" s="2" t="s">
        <v>14</v>
      </c>
    </row>
    <row r="2" spans="1:13" hidden="1" x14ac:dyDescent="0.25">
      <c r="A2" s="2" t="s">
        <v>157</v>
      </c>
      <c r="B2" s="2" t="s">
        <v>33</v>
      </c>
      <c r="C2" s="2" t="s">
        <v>3</v>
      </c>
      <c r="D2" s="2">
        <v>2</v>
      </c>
      <c r="E2" s="2" t="s">
        <v>34</v>
      </c>
      <c r="F2" s="2" t="s">
        <v>9</v>
      </c>
      <c r="G2" s="2" t="s">
        <v>9</v>
      </c>
      <c r="H2" s="2" t="s">
        <v>9</v>
      </c>
      <c r="I2" s="2" t="s">
        <v>9</v>
      </c>
      <c r="J2" s="2">
        <v>1</v>
      </c>
      <c r="K2" s="11" t="str">
        <f>A2&amp;"_"&amp;B2&amp;"_"&amp;F2&amp;"_"&amp;M2</f>
        <v>focus_in_home_1_._1</v>
      </c>
      <c r="L2" s="2" t="s">
        <v>9</v>
      </c>
      <c r="M2" s="2">
        <v>1</v>
      </c>
    </row>
    <row r="3" spans="1:13" hidden="1" x14ac:dyDescent="0.25">
      <c r="A3" s="2" t="s">
        <v>157</v>
      </c>
      <c r="B3" s="2" t="s">
        <v>139</v>
      </c>
      <c r="C3" s="2" t="s">
        <v>2</v>
      </c>
      <c r="D3" s="2">
        <v>9</v>
      </c>
      <c r="E3" s="2" t="s">
        <v>17</v>
      </c>
      <c r="F3" s="2" t="s">
        <v>9</v>
      </c>
      <c r="G3" s="2" t="s">
        <v>9</v>
      </c>
      <c r="H3" s="2" t="s">
        <v>9</v>
      </c>
      <c r="I3" s="2" t="s">
        <v>9</v>
      </c>
      <c r="J3" s="2">
        <v>1</v>
      </c>
      <c r="K3" s="11" t="str">
        <f t="shared" ref="K3:K53" si="0">A3&amp;"_"&amp;B3&amp;"_"&amp;F3&amp;"_"&amp;M3</f>
        <v>focus_in_1chart_._2</v>
      </c>
      <c r="L3" s="2" t="s">
        <v>9</v>
      </c>
      <c r="M3" s="2">
        <v>2</v>
      </c>
    </row>
    <row r="4" spans="1:13" hidden="1" x14ac:dyDescent="0.25">
      <c r="A4" s="2" t="s">
        <v>157</v>
      </c>
      <c r="B4" s="2" t="s">
        <v>139</v>
      </c>
      <c r="C4" s="2" t="s">
        <v>3</v>
      </c>
      <c r="D4" s="2">
        <v>7</v>
      </c>
      <c r="E4" s="2" t="s">
        <v>18</v>
      </c>
      <c r="F4" s="2" t="s">
        <v>9</v>
      </c>
      <c r="G4" s="2" t="s">
        <v>9</v>
      </c>
      <c r="H4" s="2" t="s">
        <v>9</v>
      </c>
      <c r="I4" s="2" t="s">
        <v>9</v>
      </c>
      <c r="J4" s="2">
        <v>1</v>
      </c>
      <c r="K4" s="11" t="str">
        <f t="shared" si="0"/>
        <v>focus_in_1chart_._2</v>
      </c>
      <c r="L4" s="2" t="s">
        <v>9</v>
      </c>
      <c r="M4" s="2">
        <v>2</v>
      </c>
    </row>
    <row r="5" spans="1:13" hidden="1" x14ac:dyDescent="0.25">
      <c r="A5" s="2" t="s">
        <v>157</v>
      </c>
      <c r="B5" s="2" t="s">
        <v>139</v>
      </c>
      <c r="C5" s="2" t="s">
        <v>4</v>
      </c>
      <c r="D5" s="2">
        <v>6</v>
      </c>
      <c r="E5" s="2" t="s">
        <v>20</v>
      </c>
      <c r="F5" s="2" t="s">
        <v>9</v>
      </c>
      <c r="G5" s="2" t="s">
        <v>9</v>
      </c>
      <c r="H5" s="2" t="s">
        <v>9</v>
      </c>
      <c r="I5" s="2" t="s">
        <v>9</v>
      </c>
      <c r="J5" s="2">
        <v>1</v>
      </c>
      <c r="K5" s="11" t="str">
        <f t="shared" si="0"/>
        <v>focus_in_1chart_._2</v>
      </c>
      <c r="L5" s="2" t="s">
        <v>9</v>
      </c>
      <c r="M5" s="2">
        <v>2</v>
      </c>
    </row>
    <row r="6" spans="1:13" hidden="1" x14ac:dyDescent="0.25">
      <c r="A6" s="2" t="s">
        <v>157</v>
      </c>
      <c r="B6" s="2" t="s">
        <v>139</v>
      </c>
      <c r="C6" s="2" t="s">
        <v>5</v>
      </c>
      <c r="D6" s="2">
        <v>5</v>
      </c>
      <c r="E6" s="2" t="s">
        <v>21</v>
      </c>
      <c r="F6" s="2" t="s">
        <v>9</v>
      </c>
      <c r="G6" s="2" t="s">
        <v>9</v>
      </c>
      <c r="H6" s="2" t="s">
        <v>9</v>
      </c>
      <c r="I6" s="2" t="s">
        <v>9</v>
      </c>
      <c r="J6" s="2">
        <v>1</v>
      </c>
      <c r="K6" s="11" t="str">
        <f t="shared" si="0"/>
        <v>focus_in_1chart_._2</v>
      </c>
      <c r="L6" s="2" t="s">
        <v>9</v>
      </c>
      <c r="M6" s="2">
        <v>2</v>
      </c>
    </row>
    <row r="7" spans="1:13" ht="90" x14ac:dyDescent="0.25">
      <c r="A7" s="2" t="s">
        <v>157</v>
      </c>
      <c r="B7" s="2" t="s">
        <v>139</v>
      </c>
      <c r="C7" s="2" t="s">
        <v>6</v>
      </c>
      <c r="D7" s="2">
        <v>3</v>
      </c>
      <c r="E7" s="2" t="s">
        <v>9</v>
      </c>
      <c r="F7" s="2" t="s">
        <v>35</v>
      </c>
      <c r="G7" s="2" t="s">
        <v>61</v>
      </c>
      <c r="H7" s="3" t="s">
        <v>32</v>
      </c>
      <c r="I7" s="2" t="s">
        <v>9</v>
      </c>
      <c r="J7" s="2">
        <v>1</v>
      </c>
      <c r="K7" s="11" t="str">
        <f t="shared" si="0"/>
        <v>focus_in_1chart_xyv_multiline_2</v>
      </c>
      <c r="L7" s="2" t="s">
        <v>9</v>
      </c>
      <c r="M7" s="2">
        <v>2</v>
      </c>
    </row>
    <row r="8" spans="1:13" hidden="1" x14ac:dyDescent="0.25">
      <c r="A8" s="2" t="s">
        <v>157</v>
      </c>
      <c r="B8" s="2" t="s">
        <v>139</v>
      </c>
      <c r="C8" s="2" t="s">
        <v>8</v>
      </c>
      <c r="D8" s="2">
        <v>2</v>
      </c>
      <c r="E8" s="2" t="s">
        <v>19</v>
      </c>
      <c r="F8" s="2" t="s">
        <v>9</v>
      </c>
      <c r="G8" s="2" t="s">
        <v>9</v>
      </c>
      <c r="H8" s="3" t="s">
        <v>9</v>
      </c>
      <c r="I8" s="2" t="s">
        <v>9</v>
      </c>
      <c r="J8" s="2">
        <v>1</v>
      </c>
      <c r="K8" s="11" t="str">
        <f t="shared" si="0"/>
        <v>focus_in_1chart_._2</v>
      </c>
      <c r="L8" s="2" t="s">
        <v>9</v>
      </c>
      <c r="M8" s="2">
        <v>2</v>
      </c>
    </row>
    <row r="9" spans="1:13" hidden="1" x14ac:dyDescent="0.25">
      <c r="A9" s="2" t="s">
        <v>157</v>
      </c>
      <c r="B9" s="2" t="s">
        <v>94</v>
      </c>
      <c r="C9" s="2" t="s">
        <v>2</v>
      </c>
      <c r="D9" s="2">
        <v>10</v>
      </c>
      <c r="E9" s="2" t="s">
        <v>40</v>
      </c>
      <c r="F9" s="2" t="s">
        <v>9</v>
      </c>
      <c r="G9" s="2" t="s">
        <v>9</v>
      </c>
      <c r="H9" s="3" t="s">
        <v>9</v>
      </c>
      <c r="I9" s="2" t="s">
        <v>9</v>
      </c>
      <c r="J9" s="2">
        <v>1</v>
      </c>
      <c r="K9" s="11" t="str">
        <f t="shared" si="0"/>
        <v>focus_in_2c_overlap_._3</v>
      </c>
      <c r="L9" s="2" t="s">
        <v>9</v>
      </c>
      <c r="M9" s="2">
        <v>3</v>
      </c>
    </row>
    <row r="10" spans="1:13" hidden="1" x14ac:dyDescent="0.25">
      <c r="A10" s="2" t="s">
        <v>157</v>
      </c>
      <c r="B10" s="2" t="s">
        <v>94</v>
      </c>
      <c r="C10" s="2" t="s">
        <v>3</v>
      </c>
      <c r="D10" s="2">
        <v>8</v>
      </c>
      <c r="E10" s="2" t="s">
        <v>41</v>
      </c>
      <c r="F10" s="2" t="s">
        <v>9</v>
      </c>
      <c r="G10" s="2" t="s">
        <v>9</v>
      </c>
      <c r="H10" s="3" t="s">
        <v>9</v>
      </c>
      <c r="I10" s="2" t="s">
        <v>9</v>
      </c>
      <c r="J10" s="2">
        <v>1</v>
      </c>
      <c r="K10" s="11" t="str">
        <f t="shared" si="0"/>
        <v>focus_in_2c_overlap_._3</v>
      </c>
      <c r="L10" s="2" t="s">
        <v>9</v>
      </c>
      <c r="M10" s="2">
        <v>3</v>
      </c>
    </row>
    <row r="11" spans="1:13" hidden="1" x14ac:dyDescent="0.25">
      <c r="A11" s="2" t="s">
        <v>157</v>
      </c>
      <c r="B11" s="2" t="s">
        <v>94</v>
      </c>
      <c r="C11" s="2" t="s">
        <v>4</v>
      </c>
      <c r="D11" s="2">
        <v>7</v>
      </c>
      <c r="E11" s="2" t="s">
        <v>42</v>
      </c>
      <c r="F11" s="2" t="s">
        <v>9</v>
      </c>
      <c r="G11" s="2" t="s">
        <v>9</v>
      </c>
      <c r="H11" s="3" t="s">
        <v>9</v>
      </c>
      <c r="I11" s="2" t="s">
        <v>9</v>
      </c>
      <c r="J11" s="2">
        <v>1</v>
      </c>
      <c r="K11" s="11" t="str">
        <f t="shared" si="0"/>
        <v>focus_in_2c_overlap_._3</v>
      </c>
      <c r="L11" s="2" t="s">
        <v>9</v>
      </c>
      <c r="M11" s="2">
        <v>3</v>
      </c>
    </row>
    <row r="12" spans="1:13" hidden="1" x14ac:dyDescent="0.25">
      <c r="A12" s="2" t="s">
        <v>157</v>
      </c>
      <c r="B12" s="2" t="s">
        <v>94</v>
      </c>
      <c r="C12" s="2" t="s">
        <v>5</v>
      </c>
      <c r="D12" s="2">
        <v>6</v>
      </c>
      <c r="E12" s="2" t="s">
        <v>43</v>
      </c>
      <c r="F12" s="2" t="s">
        <v>9</v>
      </c>
      <c r="G12" s="2" t="s">
        <v>9</v>
      </c>
      <c r="H12" s="3" t="s">
        <v>9</v>
      </c>
      <c r="I12" s="2" t="s">
        <v>9</v>
      </c>
      <c r="J12" s="2">
        <v>1</v>
      </c>
      <c r="K12" s="11" t="str">
        <f t="shared" si="0"/>
        <v>focus_in_2c_overlap_._3</v>
      </c>
      <c r="L12" s="2" t="s">
        <v>9</v>
      </c>
      <c r="M12" s="2">
        <v>3</v>
      </c>
    </row>
    <row r="13" spans="1:13" ht="90" x14ac:dyDescent="0.25">
      <c r="A13" s="2" t="s">
        <v>157</v>
      </c>
      <c r="B13" s="2" t="s">
        <v>94</v>
      </c>
      <c r="C13" s="2" t="s">
        <v>6</v>
      </c>
      <c r="D13" s="2">
        <v>4</v>
      </c>
      <c r="E13" s="2" t="s">
        <v>9</v>
      </c>
      <c r="F13" s="2" t="s">
        <v>35</v>
      </c>
      <c r="G13" s="2" t="s">
        <v>61</v>
      </c>
      <c r="H13" s="3" t="s">
        <v>32</v>
      </c>
      <c r="I13" s="2" t="s">
        <v>9</v>
      </c>
      <c r="J13" s="2">
        <v>1</v>
      </c>
      <c r="K13" s="11" t="str">
        <f t="shared" si="0"/>
        <v>focus_in_2c_overlap_xyv_multiline_3</v>
      </c>
      <c r="L13" s="2" t="s">
        <v>9</v>
      </c>
      <c r="M13" s="2">
        <v>3</v>
      </c>
    </row>
    <row r="14" spans="1:13" ht="75" hidden="1" x14ac:dyDescent="0.25">
      <c r="A14" s="2" t="s">
        <v>157</v>
      </c>
      <c r="B14" s="2" t="s">
        <v>94</v>
      </c>
      <c r="C14" s="2" t="s">
        <v>7</v>
      </c>
      <c r="D14" s="2">
        <v>3</v>
      </c>
      <c r="E14" s="2" t="s">
        <v>9</v>
      </c>
      <c r="F14" s="2" t="s">
        <v>38</v>
      </c>
      <c r="G14" s="2" t="s">
        <v>39</v>
      </c>
      <c r="H14" s="3" t="s">
        <v>60</v>
      </c>
      <c r="I14" s="2" t="s">
        <v>9</v>
      </c>
      <c r="J14" s="2">
        <v>1</v>
      </c>
      <c r="K14" s="11" t="str">
        <f t="shared" si="0"/>
        <v>focus_in_2c_overlap_xy_hr_bar_3</v>
      </c>
      <c r="L14" s="2" t="s">
        <v>9</v>
      </c>
      <c r="M14" s="2">
        <v>3</v>
      </c>
    </row>
    <row r="15" spans="1:13" hidden="1" x14ac:dyDescent="0.25">
      <c r="A15" s="2" t="s">
        <v>157</v>
      </c>
      <c r="B15" s="2" t="s">
        <v>94</v>
      </c>
      <c r="C15" s="2" t="s">
        <v>8</v>
      </c>
      <c r="D15" s="2">
        <v>2</v>
      </c>
      <c r="E15" s="2" t="s">
        <v>44</v>
      </c>
      <c r="F15" s="2" t="s">
        <v>9</v>
      </c>
      <c r="G15" s="2" t="s">
        <v>9</v>
      </c>
      <c r="H15" s="3" t="s">
        <v>9</v>
      </c>
      <c r="I15" s="2" t="s">
        <v>9</v>
      </c>
      <c r="J15" s="2">
        <v>1</v>
      </c>
      <c r="K15" s="11" t="str">
        <f t="shared" si="0"/>
        <v>focus_in_2c_overlap_._3</v>
      </c>
      <c r="L15" s="2" t="s">
        <v>9</v>
      </c>
      <c r="M15" s="2">
        <v>3</v>
      </c>
    </row>
    <row r="16" spans="1:13" hidden="1" x14ac:dyDescent="0.25">
      <c r="A16" s="2" t="s">
        <v>157</v>
      </c>
      <c r="B16" s="2" t="s">
        <v>139</v>
      </c>
      <c r="C16" s="2" t="s">
        <v>2</v>
      </c>
      <c r="D16" s="2">
        <v>9</v>
      </c>
      <c r="E16" s="2" t="s">
        <v>52</v>
      </c>
      <c r="F16" s="2" t="s">
        <v>9</v>
      </c>
      <c r="G16" s="2" t="s">
        <v>9</v>
      </c>
      <c r="H16" s="2" t="s">
        <v>9</v>
      </c>
      <c r="I16" s="2" t="s">
        <v>9</v>
      </c>
      <c r="J16" s="2">
        <v>1</v>
      </c>
      <c r="K16" s="11" t="str">
        <f t="shared" si="0"/>
        <v>focus_in_1chart_._4</v>
      </c>
      <c r="L16" s="2" t="s">
        <v>9</v>
      </c>
      <c r="M16" s="2">
        <v>4</v>
      </c>
    </row>
    <row r="17" spans="1:13" hidden="1" x14ac:dyDescent="0.25">
      <c r="A17" s="2" t="s">
        <v>157</v>
      </c>
      <c r="B17" s="2" t="s">
        <v>139</v>
      </c>
      <c r="C17" s="2" t="s">
        <v>3</v>
      </c>
      <c r="D17" s="2">
        <v>7</v>
      </c>
      <c r="E17" s="2" t="s">
        <v>52</v>
      </c>
      <c r="F17" s="2" t="s">
        <v>9</v>
      </c>
      <c r="G17" s="2" t="s">
        <v>9</v>
      </c>
      <c r="H17" s="2" t="s">
        <v>9</v>
      </c>
      <c r="I17" s="2" t="s">
        <v>9</v>
      </c>
      <c r="J17" s="2">
        <v>1</v>
      </c>
      <c r="K17" s="11" t="str">
        <f t="shared" si="0"/>
        <v>focus_in_1chart_._4</v>
      </c>
      <c r="L17" s="2" t="s">
        <v>9</v>
      </c>
      <c r="M17" s="2">
        <v>4</v>
      </c>
    </row>
    <row r="18" spans="1:13" hidden="1" x14ac:dyDescent="0.25">
      <c r="A18" s="2" t="s">
        <v>157</v>
      </c>
      <c r="B18" s="2" t="s">
        <v>139</v>
      </c>
      <c r="C18" s="2" t="s">
        <v>4</v>
      </c>
      <c r="D18" s="2">
        <v>6</v>
      </c>
      <c r="E18" s="2" t="s">
        <v>52</v>
      </c>
      <c r="F18" s="2" t="s">
        <v>9</v>
      </c>
      <c r="G18" s="2" t="s">
        <v>9</v>
      </c>
      <c r="H18" s="2" t="s">
        <v>9</v>
      </c>
      <c r="I18" s="2" t="s">
        <v>9</v>
      </c>
      <c r="J18" s="2">
        <v>1</v>
      </c>
      <c r="K18" s="11" t="str">
        <f t="shared" si="0"/>
        <v>focus_in_1chart_._4</v>
      </c>
      <c r="L18" s="2" t="s">
        <v>9</v>
      </c>
      <c r="M18" s="2">
        <v>4</v>
      </c>
    </row>
    <row r="19" spans="1:13" hidden="1" x14ac:dyDescent="0.25">
      <c r="A19" s="2" t="s">
        <v>157</v>
      </c>
      <c r="B19" s="2" t="s">
        <v>139</v>
      </c>
      <c r="C19" s="2" t="s">
        <v>5</v>
      </c>
      <c r="D19" s="2">
        <v>5</v>
      </c>
      <c r="E19" s="2" t="s">
        <v>52</v>
      </c>
      <c r="F19" s="2" t="s">
        <v>9</v>
      </c>
      <c r="G19" s="2" t="s">
        <v>9</v>
      </c>
      <c r="H19" s="2" t="s">
        <v>9</v>
      </c>
      <c r="I19" s="2" t="s">
        <v>9</v>
      </c>
      <c r="J19" s="2">
        <v>1</v>
      </c>
      <c r="K19" s="11" t="str">
        <f t="shared" si="0"/>
        <v>focus_in_1chart_._4</v>
      </c>
      <c r="L19" s="2" t="s">
        <v>9</v>
      </c>
      <c r="M19" s="2">
        <v>4</v>
      </c>
    </row>
    <row r="20" spans="1:13" ht="105" hidden="1" x14ac:dyDescent="0.25">
      <c r="A20" s="2" t="s">
        <v>157</v>
      </c>
      <c r="B20" s="2" t="s">
        <v>139</v>
      </c>
      <c r="C20" s="2" t="s">
        <v>6</v>
      </c>
      <c r="D20" s="2">
        <v>3</v>
      </c>
      <c r="E20" s="2" t="s">
        <v>9</v>
      </c>
      <c r="F20" s="2" t="s">
        <v>105</v>
      </c>
      <c r="G20" s="2" t="s">
        <v>51</v>
      </c>
      <c r="H20" s="3" t="s">
        <v>100</v>
      </c>
      <c r="I20" s="2" t="s">
        <v>9</v>
      </c>
      <c r="J20" s="2">
        <v>1</v>
      </c>
      <c r="K20" s="11" t="str">
        <f t="shared" si="0"/>
        <v>focus_in_1chart_xyv_stacked_bar_4</v>
      </c>
      <c r="L20" s="2" t="s">
        <v>9</v>
      </c>
      <c r="M20" s="2">
        <v>4</v>
      </c>
    </row>
    <row r="21" spans="1:13" hidden="1" x14ac:dyDescent="0.25">
      <c r="A21" s="2" t="s">
        <v>157</v>
      </c>
      <c r="B21" s="2" t="s">
        <v>139</v>
      </c>
      <c r="C21" s="2" t="s">
        <v>8</v>
      </c>
      <c r="D21" s="2">
        <v>2</v>
      </c>
      <c r="E21" s="2" t="s">
        <v>52</v>
      </c>
      <c r="F21" s="2" t="s">
        <v>9</v>
      </c>
      <c r="G21" s="2" t="s">
        <v>9</v>
      </c>
      <c r="H21" s="3" t="s">
        <v>9</v>
      </c>
      <c r="I21" s="2" t="s">
        <v>9</v>
      </c>
      <c r="J21" s="2">
        <v>1</v>
      </c>
      <c r="K21" s="11" t="str">
        <f t="shared" si="0"/>
        <v>focus_in_1chart_._4</v>
      </c>
      <c r="L21" s="2" t="s">
        <v>9</v>
      </c>
      <c r="M21" s="2">
        <v>4</v>
      </c>
    </row>
    <row r="22" spans="1:13" hidden="1" x14ac:dyDescent="0.25">
      <c r="A22" s="2" t="s">
        <v>157</v>
      </c>
      <c r="B22" s="2" t="s">
        <v>95</v>
      </c>
      <c r="C22" s="2" t="s">
        <v>2</v>
      </c>
      <c r="D22" s="2">
        <v>10</v>
      </c>
      <c r="E22" s="2" t="s">
        <v>9</v>
      </c>
      <c r="F22" s="2" t="s">
        <v>9</v>
      </c>
      <c r="G22" s="2" t="s">
        <v>9</v>
      </c>
      <c r="H22" s="3" t="s">
        <v>9</v>
      </c>
      <c r="I22" s="2" t="s">
        <v>9</v>
      </c>
      <c r="J22" s="2">
        <v>1</v>
      </c>
      <c r="K22" s="11" t="str">
        <f t="shared" si="0"/>
        <v>focus_in_2c_compare_._5</v>
      </c>
      <c r="L22" s="2" t="s">
        <v>9</v>
      </c>
      <c r="M22" s="2">
        <v>5</v>
      </c>
    </row>
    <row r="23" spans="1:13" hidden="1" x14ac:dyDescent="0.25">
      <c r="A23" s="2" t="s">
        <v>157</v>
      </c>
      <c r="B23" s="2" t="s">
        <v>95</v>
      </c>
      <c r="C23" s="2" t="s">
        <v>3</v>
      </c>
      <c r="D23" s="2">
        <v>8</v>
      </c>
      <c r="E23" s="2" t="s">
        <v>9</v>
      </c>
      <c r="F23" s="2" t="s">
        <v>9</v>
      </c>
      <c r="G23" s="2" t="s">
        <v>9</v>
      </c>
      <c r="H23" s="3" t="s">
        <v>9</v>
      </c>
      <c r="I23" s="2" t="s">
        <v>9</v>
      </c>
      <c r="J23" s="2">
        <v>1</v>
      </c>
      <c r="K23" s="11" t="str">
        <f t="shared" si="0"/>
        <v>focus_in_2c_compare_._5</v>
      </c>
      <c r="L23" s="2" t="s">
        <v>9</v>
      </c>
      <c r="M23" s="2">
        <v>5</v>
      </c>
    </row>
    <row r="24" spans="1:13" hidden="1" x14ac:dyDescent="0.25">
      <c r="A24" s="2" t="s">
        <v>157</v>
      </c>
      <c r="B24" s="2" t="s">
        <v>95</v>
      </c>
      <c r="C24" s="2" t="s">
        <v>4</v>
      </c>
      <c r="D24" s="2">
        <v>7</v>
      </c>
      <c r="E24" s="2" t="s">
        <v>9</v>
      </c>
      <c r="F24" s="2" t="s">
        <v>9</v>
      </c>
      <c r="G24" s="2" t="s">
        <v>9</v>
      </c>
      <c r="H24" s="3" t="s">
        <v>9</v>
      </c>
      <c r="I24" s="2" t="s">
        <v>9</v>
      </c>
      <c r="J24" s="2">
        <v>1</v>
      </c>
      <c r="K24" s="11" t="str">
        <f t="shared" si="0"/>
        <v>focus_in_2c_compare_._5</v>
      </c>
      <c r="L24" s="2" t="s">
        <v>9</v>
      </c>
      <c r="M24" s="2">
        <v>5</v>
      </c>
    </row>
    <row r="25" spans="1:13" hidden="1" x14ac:dyDescent="0.25">
      <c r="A25" s="2" t="s">
        <v>157</v>
      </c>
      <c r="B25" s="2" t="s">
        <v>95</v>
      </c>
      <c r="C25" s="2" t="s">
        <v>5</v>
      </c>
      <c r="D25" s="2">
        <v>6</v>
      </c>
      <c r="E25" s="2" t="s">
        <v>9</v>
      </c>
      <c r="F25" s="2" t="s">
        <v>9</v>
      </c>
      <c r="G25" s="2" t="s">
        <v>9</v>
      </c>
      <c r="H25" s="3" t="s">
        <v>9</v>
      </c>
      <c r="I25" s="2" t="s">
        <v>9</v>
      </c>
      <c r="J25" s="2">
        <v>1</v>
      </c>
      <c r="K25" s="11" t="str">
        <f t="shared" si="0"/>
        <v>focus_in_2c_compare_._5</v>
      </c>
      <c r="L25" s="2" t="s">
        <v>9</v>
      </c>
      <c r="M25" s="2">
        <v>5</v>
      </c>
    </row>
    <row r="26" spans="1:13" ht="105" hidden="1" x14ac:dyDescent="0.25">
      <c r="A26" s="2" t="s">
        <v>157</v>
      </c>
      <c r="B26" s="2" t="s">
        <v>95</v>
      </c>
      <c r="C26" s="2" t="s">
        <v>6</v>
      </c>
      <c r="D26" s="2">
        <v>4</v>
      </c>
      <c r="E26" s="2" t="s">
        <v>9</v>
      </c>
      <c r="F26" s="2" t="s">
        <v>96</v>
      </c>
      <c r="G26" s="2" t="s">
        <v>51</v>
      </c>
      <c r="H26" s="3" t="s">
        <v>101</v>
      </c>
      <c r="I26" s="2" t="s">
        <v>9</v>
      </c>
      <c r="J26" s="2">
        <v>1</v>
      </c>
      <c r="K26" s="11" t="str">
        <f t="shared" si="0"/>
        <v>focus_in_2c_compare_xyv_stacked_bar_2x_5</v>
      </c>
      <c r="L26" s="2" t="s">
        <v>9</v>
      </c>
      <c r="M26" s="2">
        <v>5</v>
      </c>
    </row>
    <row r="27" spans="1:13" ht="105" hidden="1" x14ac:dyDescent="0.25">
      <c r="A27" s="2" t="s">
        <v>157</v>
      </c>
      <c r="B27" s="2" t="s">
        <v>95</v>
      </c>
      <c r="C27" s="2" t="s">
        <v>7</v>
      </c>
      <c r="D27" s="2">
        <v>3</v>
      </c>
      <c r="E27" s="2" t="s">
        <v>9</v>
      </c>
      <c r="F27" s="2" t="s">
        <v>96</v>
      </c>
      <c r="G27" s="2" t="s">
        <v>51</v>
      </c>
      <c r="H27" s="3" t="s">
        <v>102</v>
      </c>
      <c r="I27" s="2" t="s">
        <v>9</v>
      </c>
      <c r="J27" s="2">
        <v>1</v>
      </c>
      <c r="K27" s="11" t="str">
        <f t="shared" si="0"/>
        <v>focus_in_2c_compare_xyv_stacked_bar_2x_5</v>
      </c>
      <c r="L27" s="2" t="s">
        <v>9</v>
      </c>
      <c r="M27" s="2">
        <v>5</v>
      </c>
    </row>
    <row r="28" spans="1:13" hidden="1" x14ac:dyDescent="0.25">
      <c r="A28" s="2" t="s">
        <v>157</v>
      </c>
      <c r="B28" s="2" t="s">
        <v>95</v>
      </c>
      <c r="C28" s="2" t="s">
        <v>8</v>
      </c>
      <c r="D28" s="2">
        <v>2</v>
      </c>
      <c r="E28" s="2" t="s">
        <v>9</v>
      </c>
      <c r="F28" s="2" t="s">
        <v>9</v>
      </c>
      <c r="G28" s="2" t="s">
        <v>9</v>
      </c>
      <c r="H28" s="3" t="s">
        <v>9</v>
      </c>
      <c r="I28" s="2" t="s">
        <v>9</v>
      </c>
      <c r="J28" s="2">
        <v>1</v>
      </c>
      <c r="K28" s="11" t="str">
        <f t="shared" si="0"/>
        <v>focus_in_2c_compare_._5</v>
      </c>
      <c r="L28" s="2" t="s">
        <v>9</v>
      </c>
      <c r="M28" s="2">
        <v>5</v>
      </c>
    </row>
    <row r="29" spans="1:13" hidden="1" x14ac:dyDescent="0.25">
      <c r="A29" s="2" t="s">
        <v>157</v>
      </c>
      <c r="B29" s="2" t="s">
        <v>129</v>
      </c>
      <c r="C29" s="2" t="s">
        <v>2</v>
      </c>
      <c r="D29" s="2">
        <v>11</v>
      </c>
      <c r="E29" s="2" t="s">
        <v>9</v>
      </c>
      <c r="F29" s="2" t="s">
        <v>9</v>
      </c>
      <c r="G29" s="2" t="s">
        <v>9</v>
      </c>
      <c r="H29" s="3" t="s">
        <v>9</v>
      </c>
      <c r="I29" s="2" t="s">
        <v>9</v>
      </c>
      <c r="J29" s="2">
        <v>1</v>
      </c>
      <c r="K29" s="11" t="str">
        <f t="shared" si="0"/>
        <v>focus_in_1c1i_overlap_._6</v>
      </c>
      <c r="L29" s="2" t="s">
        <v>9</v>
      </c>
      <c r="M29" s="2">
        <v>6</v>
      </c>
    </row>
    <row r="30" spans="1:13" hidden="1" x14ac:dyDescent="0.25">
      <c r="A30" s="2" t="s">
        <v>157</v>
      </c>
      <c r="B30" s="2" t="s">
        <v>129</v>
      </c>
      <c r="C30" s="2" t="s">
        <v>3</v>
      </c>
      <c r="D30" s="2">
        <v>8</v>
      </c>
      <c r="E30" s="2" t="s">
        <v>9</v>
      </c>
      <c r="F30" s="2" t="s">
        <v>9</v>
      </c>
      <c r="G30" s="2" t="s">
        <v>9</v>
      </c>
      <c r="H30" s="3" t="s">
        <v>9</v>
      </c>
      <c r="I30" s="2" t="s">
        <v>9</v>
      </c>
      <c r="J30" s="2">
        <v>1</v>
      </c>
      <c r="K30" s="11" t="str">
        <f t="shared" si="0"/>
        <v>focus_in_1c1i_overlap_._6</v>
      </c>
      <c r="L30" s="2" t="s">
        <v>9</v>
      </c>
      <c r="M30" s="2">
        <v>6</v>
      </c>
    </row>
    <row r="31" spans="1:13" hidden="1" x14ac:dyDescent="0.25">
      <c r="A31" s="2" t="s">
        <v>157</v>
      </c>
      <c r="B31" s="2" t="s">
        <v>129</v>
      </c>
      <c r="C31" s="2" t="s">
        <v>8</v>
      </c>
      <c r="D31" s="2">
        <v>7</v>
      </c>
      <c r="E31" s="2" t="s">
        <v>9</v>
      </c>
      <c r="F31" s="2" t="s">
        <v>9</v>
      </c>
      <c r="G31" s="2" t="s">
        <v>9</v>
      </c>
      <c r="H31" s="3" t="s">
        <v>9</v>
      </c>
      <c r="I31" s="2" t="s">
        <v>9</v>
      </c>
      <c r="J31" s="2">
        <v>1</v>
      </c>
      <c r="K31" s="11" t="str">
        <f t="shared" si="0"/>
        <v>focus_in_1c1i_overlap_._6</v>
      </c>
      <c r="L31" s="2" t="s">
        <v>9</v>
      </c>
      <c r="M31" s="2">
        <v>6</v>
      </c>
    </row>
    <row r="32" spans="1:13" hidden="1" x14ac:dyDescent="0.25">
      <c r="A32" s="2" t="s">
        <v>157</v>
      </c>
      <c r="B32" s="2" t="s">
        <v>129</v>
      </c>
      <c r="C32" s="2" t="s">
        <v>4</v>
      </c>
      <c r="D32" s="2">
        <v>6</v>
      </c>
      <c r="E32" s="2" t="s">
        <v>9</v>
      </c>
      <c r="F32" s="2" t="s">
        <v>9</v>
      </c>
      <c r="G32" s="2" t="s">
        <v>9</v>
      </c>
      <c r="H32" s="3" t="s">
        <v>9</v>
      </c>
      <c r="I32" s="2" t="s">
        <v>9</v>
      </c>
      <c r="J32" s="2">
        <v>1</v>
      </c>
      <c r="K32" s="11" t="str">
        <f t="shared" si="0"/>
        <v>focus_in_1c1i_overlap_._6</v>
      </c>
      <c r="L32" s="2" t="s">
        <v>9</v>
      </c>
      <c r="M32" s="2">
        <v>6</v>
      </c>
    </row>
    <row r="33" spans="1:13" hidden="1" x14ac:dyDescent="0.25">
      <c r="A33" s="2" t="s">
        <v>157</v>
      </c>
      <c r="B33" s="2" t="s">
        <v>129</v>
      </c>
      <c r="C33" s="2" t="s">
        <v>5</v>
      </c>
      <c r="D33" s="2">
        <v>5</v>
      </c>
      <c r="E33" s="2" t="s">
        <v>9</v>
      </c>
      <c r="F33" s="2" t="s">
        <v>9</v>
      </c>
      <c r="G33" s="2" t="s">
        <v>9</v>
      </c>
      <c r="H33" s="3" t="s">
        <v>9</v>
      </c>
      <c r="I33" s="2" t="s">
        <v>9</v>
      </c>
      <c r="J33" s="2">
        <v>1</v>
      </c>
      <c r="K33" s="11" t="str">
        <f t="shared" si="0"/>
        <v>focus_in_1c1i_overlap_._6</v>
      </c>
      <c r="L33" s="2" t="s">
        <v>9</v>
      </c>
      <c r="M33" s="2">
        <v>6</v>
      </c>
    </row>
    <row r="34" spans="1:13" ht="90" x14ac:dyDescent="0.25">
      <c r="A34" s="2" t="s">
        <v>157</v>
      </c>
      <c r="B34" s="2" t="s">
        <v>129</v>
      </c>
      <c r="C34" s="2" t="s">
        <v>6</v>
      </c>
      <c r="D34" s="2">
        <v>3</v>
      </c>
      <c r="E34" s="2" t="s">
        <v>9</v>
      </c>
      <c r="F34" s="2" t="s">
        <v>35</v>
      </c>
      <c r="G34" s="2" t="s">
        <v>61</v>
      </c>
      <c r="H34" s="3" t="s">
        <v>32</v>
      </c>
      <c r="I34" s="2" t="s">
        <v>9</v>
      </c>
      <c r="J34" s="2">
        <v>1</v>
      </c>
      <c r="K34" s="11" t="str">
        <f t="shared" si="0"/>
        <v>focus_in_1c1i_overlap_xyv_multiline_6</v>
      </c>
      <c r="L34" s="2" t="s">
        <v>9</v>
      </c>
      <c r="M34" s="2">
        <v>6</v>
      </c>
    </row>
    <row r="35" spans="1:13" ht="210" hidden="1" x14ac:dyDescent="0.25">
      <c r="A35" s="2" t="s">
        <v>157</v>
      </c>
      <c r="B35" s="2" t="s">
        <v>129</v>
      </c>
      <c r="C35" s="2" t="s">
        <v>130</v>
      </c>
      <c r="D35" s="2">
        <v>2</v>
      </c>
      <c r="E35" s="2" t="s">
        <v>9</v>
      </c>
      <c r="F35" s="2" t="s">
        <v>137</v>
      </c>
      <c r="G35" s="2" t="s">
        <v>138</v>
      </c>
      <c r="H35" s="3" t="s">
        <v>150</v>
      </c>
      <c r="I35" s="2" t="s">
        <v>9</v>
      </c>
      <c r="J35" s="2">
        <v>1</v>
      </c>
      <c r="K35" s="11" t="str">
        <f t="shared" si="0"/>
        <v>focus_in_1c1i_overlap_xyz_hr_bar_k_6</v>
      </c>
      <c r="L35" s="2">
        <v>1</v>
      </c>
      <c r="M35" s="2">
        <v>6</v>
      </c>
    </row>
    <row r="36" spans="1:13" hidden="1" x14ac:dyDescent="0.25">
      <c r="A36" s="2" t="s">
        <v>157</v>
      </c>
      <c r="B36" s="2" t="s">
        <v>140</v>
      </c>
      <c r="C36" s="2" t="s">
        <v>141</v>
      </c>
      <c r="D36" s="2">
        <v>1</v>
      </c>
      <c r="E36" s="2" t="s">
        <v>9</v>
      </c>
      <c r="F36" s="2" t="s">
        <v>9</v>
      </c>
      <c r="G36" s="2" t="s">
        <v>9</v>
      </c>
      <c r="H36" s="3" t="s">
        <v>9</v>
      </c>
      <c r="I36" s="2" t="s">
        <v>9</v>
      </c>
      <c r="J36" s="2">
        <v>1</v>
      </c>
      <c r="K36" s="11" t="str">
        <f t="shared" si="0"/>
        <v>focus_in_sankey_6f_._7</v>
      </c>
      <c r="L36" s="2" t="s">
        <v>9</v>
      </c>
      <c r="M36" s="2">
        <v>7</v>
      </c>
    </row>
    <row r="37" spans="1:13" hidden="1" x14ac:dyDescent="0.25">
      <c r="A37" s="2" t="s">
        <v>157</v>
      </c>
      <c r="B37" s="2" t="s">
        <v>140</v>
      </c>
      <c r="C37" s="2" t="s">
        <v>142</v>
      </c>
      <c r="D37" s="2">
        <v>2</v>
      </c>
      <c r="E37" s="2" t="s">
        <v>9</v>
      </c>
      <c r="F37" s="2" t="s">
        <v>9</v>
      </c>
      <c r="G37" s="2" t="s">
        <v>9</v>
      </c>
      <c r="H37" s="3" t="s">
        <v>9</v>
      </c>
      <c r="I37" s="2" t="s">
        <v>9</v>
      </c>
      <c r="J37" s="2">
        <v>1</v>
      </c>
      <c r="K37" s="11" t="str">
        <f t="shared" si="0"/>
        <v>focus_in_sankey_6f_._7</v>
      </c>
      <c r="L37" s="2" t="s">
        <v>9</v>
      </c>
      <c r="M37" s="2">
        <v>7</v>
      </c>
    </row>
    <row r="38" spans="1:13" hidden="1" x14ac:dyDescent="0.25">
      <c r="A38" s="2" t="s">
        <v>157</v>
      </c>
      <c r="B38" s="2" t="s">
        <v>140</v>
      </c>
      <c r="C38" s="2" t="s">
        <v>5</v>
      </c>
      <c r="D38" s="2">
        <v>3</v>
      </c>
      <c r="E38" s="2" t="s">
        <v>9</v>
      </c>
      <c r="F38" s="2" t="s">
        <v>9</v>
      </c>
      <c r="G38" s="2" t="s">
        <v>9</v>
      </c>
      <c r="H38" s="3" t="s">
        <v>9</v>
      </c>
      <c r="I38" s="2" t="s">
        <v>9</v>
      </c>
      <c r="J38" s="2">
        <v>1</v>
      </c>
      <c r="K38" s="11" t="str">
        <f t="shared" si="0"/>
        <v>focus_in_sankey_6f_._7</v>
      </c>
      <c r="L38" s="2" t="s">
        <v>9</v>
      </c>
      <c r="M38" s="2">
        <v>7</v>
      </c>
    </row>
    <row r="39" spans="1:13" hidden="1" x14ac:dyDescent="0.25">
      <c r="A39" s="2" t="s">
        <v>157</v>
      </c>
      <c r="B39" s="2" t="s">
        <v>140</v>
      </c>
      <c r="C39" s="2" t="s">
        <v>4</v>
      </c>
      <c r="D39" s="2">
        <v>4</v>
      </c>
      <c r="E39" s="2" t="s">
        <v>9</v>
      </c>
      <c r="F39" s="2" t="s">
        <v>9</v>
      </c>
      <c r="G39" s="2" t="s">
        <v>9</v>
      </c>
      <c r="H39" s="3" t="s">
        <v>9</v>
      </c>
      <c r="I39" s="2" t="s">
        <v>9</v>
      </c>
      <c r="J39" s="2">
        <v>1</v>
      </c>
      <c r="K39" s="11" t="str">
        <f t="shared" si="0"/>
        <v>focus_in_sankey_6f_._7</v>
      </c>
      <c r="L39" s="2" t="s">
        <v>9</v>
      </c>
      <c r="M39" s="2">
        <v>7</v>
      </c>
    </row>
    <row r="40" spans="1:13" hidden="1" x14ac:dyDescent="0.25">
      <c r="A40" s="2" t="s">
        <v>157</v>
      </c>
      <c r="B40" s="2" t="s">
        <v>140</v>
      </c>
      <c r="C40" s="2" t="s">
        <v>8</v>
      </c>
      <c r="D40" s="2">
        <v>5</v>
      </c>
      <c r="E40" s="2" t="s">
        <v>9</v>
      </c>
      <c r="F40" s="2" t="s">
        <v>9</v>
      </c>
      <c r="G40" s="2" t="s">
        <v>9</v>
      </c>
      <c r="H40" s="3" t="s">
        <v>9</v>
      </c>
      <c r="I40" s="2" t="s">
        <v>9</v>
      </c>
      <c r="J40" s="2">
        <v>1</v>
      </c>
      <c r="K40" s="11" t="str">
        <f t="shared" si="0"/>
        <v>focus_in_sankey_6f_._7</v>
      </c>
      <c r="L40" s="2" t="s">
        <v>9</v>
      </c>
      <c r="M40" s="2">
        <v>7</v>
      </c>
    </row>
    <row r="41" spans="1:13" hidden="1" x14ac:dyDescent="0.25">
      <c r="A41" s="2" t="s">
        <v>157</v>
      </c>
      <c r="B41" s="2" t="s">
        <v>140</v>
      </c>
      <c r="C41" s="2" t="s">
        <v>3</v>
      </c>
      <c r="D41" s="2">
        <v>6</v>
      </c>
      <c r="E41" s="2" t="s">
        <v>9</v>
      </c>
      <c r="F41" s="2" t="s">
        <v>9</v>
      </c>
      <c r="G41" s="2" t="s">
        <v>9</v>
      </c>
      <c r="H41" s="3" t="s">
        <v>9</v>
      </c>
      <c r="I41" s="2" t="s">
        <v>9</v>
      </c>
      <c r="J41" s="2">
        <v>1</v>
      </c>
      <c r="K41" s="11" t="str">
        <f t="shared" si="0"/>
        <v>focus_in_sankey_6f_._7</v>
      </c>
      <c r="L41" s="2" t="s">
        <v>9</v>
      </c>
      <c r="M41" s="2">
        <v>7</v>
      </c>
    </row>
    <row r="42" spans="1:13" hidden="1" x14ac:dyDescent="0.25">
      <c r="A42" s="2" t="s">
        <v>157</v>
      </c>
      <c r="B42" s="2" t="s">
        <v>140</v>
      </c>
      <c r="C42" s="2" t="s">
        <v>143</v>
      </c>
      <c r="D42" s="2">
        <v>7</v>
      </c>
      <c r="E42" s="2" t="s">
        <v>9</v>
      </c>
      <c r="F42" s="2" t="s">
        <v>9</v>
      </c>
      <c r="G42" s="2" t="s">
        <v>9</v>
      </c>
      <c r="H42" s="3" t="s">
        <v>9</v>
      </c>
      <c r="I42" s="2" t="s">
        <v>9</v>
      </c>
      <c r="J42" s="2">
        <v>1</v>
      </c>
      <c r="K42" s="11" t="str">
        <f t="shared" si="0"/>
        <v>focus_in_sankey_6f_._7</v>
      </c>
      <c r="L42" s="2" t="s">
        <v>9</v>
      </c>
      <c r="M42" s="2">
        <v>7</v>
      </c>
    </row>
    <row r="43" spans="1:13" hidden="1" x14ac:dyDescent="0.25">
      <c r="A43" s="2" t="s">
        <v>157</v>
      </c>
      <c r="B43" s="2" t="s">
        <v>140</v>
      </c>
      <c r="C43" s="2" t="s">
        <v>144</v>
      </c>
      <c r="D43" s="2">
        <v>8</v>
      </c>
      <c r="E43" s="2" t="s">
        <v>9</v>
      </c>
      <c r="F43" s="2" t="s">
        <v>9</v>
      </c>
      <c r="G43" s="2" t="s">
        <v>9</v>
      </c>
      <c r="H43" s="3" t="s">
        <v>9</v>
      </c>
      <c r="I43" s="2" t="s">
        <v>9</v>
      </c>
      <c r="J43" s="2">
        <v>1</v>
      </c>
      <c r="K43" s="11" t="str">
        <f t="shared" si="0"/>
        <v>focus_in_sankey_6f_._7</v>
      </c>
      <c r="L43" s="2" t="s">
        <v>9</v>
      </c>
      <c r="M43" s="2">
        <v>7</v>
      </c>
    </row>
    <row r="44" spans="1:13" hidden="1" x14ac:dyDescent="0.25">
      <c r="A44" s="2" t="s">
        <v>157</v>
      </c>
      <c r="B44" s="2" t="s">
        <v>140</v>
      </c>
      <c r="C44" s="2" t="s">
        <v>2</v>
      </c>
      <c r="D44" s="2">
        <v>9</v>
      </c>
      <c r="E44" s="2" t="s">
        <v>9</v>
      </c>
      <c r="F44" s="2" t="s">
        <v>9</v>
      </c>
      <c r="G44" s="2" t="s">
        <v>9</v>
      </c>
      <c r="H44" s="3" t="s">
        <v>9</v>
      </c>
      <c r="I44" s="2" t="s">
        <v>9</v>
      </c>
      <c r="J44" s="2">
        <v>1</v>
      </c>
      <c r="K44" s="11" t="str">
        <f t="shared" si="0"/>
        <v>focus_in_sankey_6f_._7</v>
      </c>
      <c r="L44" s="2" t="s">
        <v>9</v>
      </c>
      <c r="M44" s="2">
        <v>7</v>
      </c>
    </row>
    <row r="45" spans="1:13" hidden="1" x14ac:dyDescent="0.25">
      <c r="A45" s="2" t="s">
        <v>157</v>
      </c>
      <c r="B45" s="2" t="s">
        <v>140</v>
      </c>
      <c r="C45" s="2" t="s">
        <v>130</v>
      </c>
      <c r="D45" s="2">
        <v>10</v>
      </c>
      <c r="E45" s="2" t="s">
        <v>9</v>
      </c>
      <c r="F45" s="2" t="s">
        <v>9</v>
      </c>
      <c r="G45" s="2" t="s">
        <v>9</v>
      </c>
      <c r="H45" s="3" t="s">
        <v>9</v>
      </c>
      <c r="I45" s="2" t="s">
        <v>145</v>
      </c>
      <c r="J45" s="2">
        <v>1</v>
      </c>
      <c r="K45" s="11" t="str">
        <f t="shared" si="0"/>
        <v>focus_in_sankey_6f_._7</v>
      </c>
      <c r="L45" s="2" t="s">
        <v>9</v>
      </c>
      <c r="M45" s="2">
        <v>7</v>
      </c>
    </row>
    <row r="46" spans="1:13" ht="135" hidden="1" x14ac:dyDescent="0.25">
      <c r="A46" s="2" t="s">
        <v>157</v>
      </c>
      <c r="B46" s="2" t="s">
        <v>160</v>
      </c>
      <c r="C46" s="2" t="s">
        <v>161</v>
      </c>
      <c r="D46" s="2">
        <v>12</v>
      </c>
      <c r="E46" s="2" t="s">
        <v>9</v>
      </c>
      <c r="F46" s="2" t="s">
        <v>162</v>
      </c>
      <c r="G46" s="2" t="s">
        <v>51</v>
      </c>
      <c r="H46" s="3" t="s">
        <v>167</v>
      </c>
      <c r="I46" s="2" t="s">
        <v>9</v>
      </c>
      <c r="J46" s="2">
        <v>1</v>
      </c>
      <c r="K46" s="11" t="str">
        <f t="shared" si="0"/>
        <v>focus_in_2c_1l_compare_xyv_stacked_bar_legend_8</v>
      </c>
      <c r="L46" s="2" t="s">
        <v>9</v>
      </c>
      <c r="M46" s="2">
        <v>8</v>
      </c>
    </row>
    <row r="47" spans="1:13" hidden="1" x14ac:dyDescent="0.25">
      <c r="A47" s="2" t="s">
        <v>157</v>
      </c>
      <c r="B47" s="2" t="s">
        <v>160</v>
      </c>
      <c r="C47" s="2" t="s">
        <v>2</v>
      </c>
      <c r="D47" s="2">
        <v>10</v>
      </c>
      <c r="E47" s="2" t="s">
        <v>160</v>
      </c>
      <c r="F47" s="2" t="s">
        <v>9</v>
      </c>
      <c r="G47" s="2" t="s">
        <v>9</v>
      </c>
      <c r="H47" s="3" t="s">
        <v>9</v>
      </c>
      <c r="I47" s="2" t="s">
        <v>9</v>
      </c>
      <c r="J47" s="2">
        <v>1</v>
      </c>
      <c r="K47" s="11" t="str">
        <f t="shared" si="0"/>
        <v>focus_in_2c_1l_compare_._8</v>
      </c>
      <c r="L47" s="2" t="s">
        <v>9</v>
      </c>
      <c r="M47" s="2">
        <v>8</v>
      </c>
    </row>
    <row r="48" spans="1:13" hidden="1" x14ac:dyDescent="0.25">
      <c r="A48" s="2" t="s">
        <v>157</v>
      </c>
      <c r="B48" s="2" t="s">
        <v>160</v>
      </c>
      <c r="C48" s="2" t="s">
        <v>3</v>
      </c>
      <c r="D48" s="2">
        <v>8</v>
      </c>
      <c r="E48" s="2" t="s">
        <v>163</v>
      </c>
      <c r="F48" s="2" t="s">
        <v>9</v>
      </c>
      <c r="G48" s="2" t="s">
        <v>9</v>
      </c>
      <c r="H48" s="3" t="s">
        <v>9</v>
      </c>
      <c r="I48" s="2" t="s">
        <v>9</v>
      </c>
      <c r="J48" s="2">
        <v>1</v>
      </c>
      <c r="K48" s="11" t="str">
        <f t="shared" si="0"/>
        <v>focus_in_2c_1l_compare_._8</v>
      </c>
      <c r="L48" s="2" t="s">
        <v>9</v>
      </c>
      <c r="M48" s="2">
        <v>8</v>
      </c>
    </row>
    <row r="49" spans="1:13" hidden="1" x14ac:dyDescent="0.25">
      <c r="A49" s="2" t="s">
        <v>157</v>
      </c>
      <c r="B49" s="2" t="s">
        <v>160</v>
      </c>
      <c r="C49" s="2" t="s">
        <v>4</v>
      </c>
      <c r="D49" s="2">
        <v>7</v>
      </c>
      <c r="E49" s="2" t="s">
        <v>155</v>
      </c>
      <c r="F49" s="2" t="s">
        <v>9</v>
      </c>
      <c r="G49" s="2" t="s">
        <v>9</v>
      </c>
      <c r="H49" s="3" t="s">
        <v>9</v>
      </c>
      <c r="I49" s="2" t="s">
        <v>9</v>
      </c>
      <c r="J49" s="2">
        <v>1</v>
      </c>
      <c r="K49" s="11" t="str">
        <f t="shared" si="0"/>
        <v>focus_in_2c_1l_compare_._8</v>
      </c>
      <c r="L49" s="2" t="s">
        <v>9</v>
      </c>
      <c r="M49" s="2">
        <v>8</v>
      </c>
    </row>
    <row r="50" spans="1:13" hidden="1" x14ac:dyDescent="0.25">
      <c r="A50" s="2" t="s">
        <v>157</v>
      </c>
      <c r="B50" s="2" t="s">
        <v>160</v>
      </c>
      <c r="C50" s="2" t="s">
        <v>5</v>
      </c>
      <c r="D50" s="2">
        <v>6</v>
      </c>
      <c r="E50" s="2" t="s">
        <v>164</v>
      </c>
      <c r="F50" s="2" t="s">
        <v>9</v>
      </c>
      <c r="G50" s="2" t="s">
        <v>9</v>
      </c>
      <c r="H50" s="3" t="s">
        <v>9</v>
      </c>
      <c r="I50" s="2" t="s">
        <v>9</v>
      </c>
      <c r="J50" s="2">
        <v>1</v>
      </c>
      <c r="K50" s="11" t="str">
        <f t="shared" si="0"/>
        <v>focus_in_2c_1l_compare_._8</v>
      </c>
      <c r="L50" s="2" t="s">
        <v>9</v>
      </c>
      <c r="M50" s="2">
        <v>8</v>
      </c>
    </row>
    <row r="51" spans="1:13" ht="120" hidden="1" x14ac:dyDescent="0.25">
      <c r="A51" s="2" t="s">
        <v>157</v>
      </c>
      <c r="B51" s="2" t="s">
        <v>160</v>
      </c>
      <c r="C51" s="2" t="s">
        <v>6</v>
      </c>
      <c r="D51" s="2">
        <v>4</v>
      </c>
      <c r="E51" s="2" t="s">
        <v>9</v>
      </c>
      <c r="F51" s="2" t="s">
        <v>96</v>
      </c>
      <c r="G51" s="2" t="s">
        <v>51</v>
      </c>
      <c r="H51" s="3" t="s">
        <v>165</v>
      </c>
      <c r="I51" s="2" t="s">
        <v>9</v>
      </c>
      <c r="J51" s="2">
        <v>1</v>
      </c>
      <c r="K51" s="11" t="str">
        <f t="shared" si="0"/>
        <v>focus_in_2c_1l_compare_xyv_stacked_bar_2x_8</v>
      </c>
      <c r="L51" s="2" t="s">
        <v>9</v>
      </c>
      <c r="M51" s="2">
        <v>8</v>
      </c>
    </row>
    <row r="52" spans="1:13" ht="120" hidden="1" x14ac:dyDescent="0.25">
      <c r="A52" s="2" t="s">
        <v>157</v>
      </c>
      <c r="B52" s="2" t="s">
        <v>160</v>
      </c>
      <c r="C52" s="2" t="s">
        <v>7</v>
      </c>
      <c r="D52" s="2">
        <v>3</v>
      </c>
      <c r="E52" s="2" t="s">
        <v>9</v>
      </c>
      <c r="F52" s="2" t="s">
        <v>96</v>
      </c>
      <c r="G52" s="2" t="s">
        <v>51</v>
      </c>
      <c r="H52" s="3" t="s">
        <v>166</v>
      </c>
      <c r="I52" s="2" t="s">
        <v>9</v>
      </c>
      <c r="J52" s="2">
        <v>1</v>
      </c>
      <c r="K52" s="11" t="str">
        <f t="shared" si="0"/>
        <v>focus_in_2c_1l_compare_xyv_stacked_bar_2x_8</v>
      </c>
      <c r="L52" s="2" t="s">
        <v>9</v>
      </c>
      <c r="M52" s="2">
        <v>8</v>
      </c>
    </row>
    <row r="53" spans="1:13" hidden="1" x14ac:dyDescent="0.25">
      <c r="A53" s="2" t="s">
        <v>157</v>
      </c>
      <c r="B53" s="2" t="s">
        <v>160</v>
      </c>
      <c r="C53" s="2" t="s">
        <v>8</v>
      </c>
      <c r="D53" s="2">
        <v>2</v>
      </c>
      <c r="E53" s="2" t="s">
        <v>155</v>
      </c>
      <c r="F53" s="2" t="s">
        <v>9</v>
      </c>
      <c r="G53" s="2" t="s">
        <v>9</v>
      </c>
      <c r="H53" s="3" t="s">
        <v>9</v>
      </c>
      <c r="I53" s="2" t="s">
        <v>9</v>
      </c>
      <c r="J53" s="2">
        <v>1</v>
      </c>
      <c r="K53" s="11" t="str">
        <f t="shared" si="0"/>
        <v>focus_in_2c_1l_compare_._8</v>
      </c>
      <c r="L53" s="2" t="s">
        <v>9</v>
      </c>
      <c r="M53" s="2">
        <v>8</v>
      </c>
    </row>
  </sheetData>
  <autoFilter ref="A1:M53" xr:uid="{29699113-A459-4F3C-9A36-1D8BAB61F701}">
    <filterColumn colId="5">
      <filters>
        <filter val="xyv_multiline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D40EF-2892-48CC-A0E8-AC6CE1EFE6C5}">
  <sheetPr codeName="Sheet5"/>
  <dimension ref="A1:C26"/>
  <sheetViews>
    <sheetView showGridLines="0" zoomScale="90" zoomScaleNormal="90" workbookViewId="0"/>
  </sheetViews>
  <sheetFormatPr defaultColWidth="0" defaultRowHeight="15" x14ac:dyDescent="0.25"/>
  <cols>
    <col min="1" max="1" width="13.42578125" style="5" bestFit="1" customWidth="1"/>
    <col min="2" max="2" width="12.140625" style="5" bestFit="1" customWidth="1"/>
    <col min="3" max="3" width="12" style="5" bestFit="1" customWidth="1"/>
    <col min="4" max="16384" width="9.140625" style="5" hidden="1"/>
  </cols>
  <sheetData>
    <row r="1" spans="1:3" x14ac:dyDescent="0.25">
      <c r="A1" s="4" t="s">
        <v>28</v>
      </c>
      <c r="B1" s="4" t="s">
        <v>25</v>
      </c>
      <c r="C1" s="4" t="s">
        <v>26</v>
      </c>
    </row>
    <row r="2" spans="1:3" x14ac:dyDescent="0.25">
      <c r="A2" s="4" t="s">
        <v>22</v>
      </c>
      <c r="B2" s="4" t="s">
        <v>27</v>
      </c>
      <c r="C2" s="4" t="s">
        <v>36</v>
      </c>
    </row>
    <row r="3" spans="1:3" x14ac:dyDescent="0.25">
      <c r="A3" s="4" t="s">
        <v>23</v>
      </c>
      <c r="B3" s="4" t="s">
        <v>9</v>
      </c>
      <c r="C3" s="4" t="s">
        <v>37</v>
      </c>
    </row>
    <row r="4" spans="1:3" x14ac:dyDescent="0.25">
      <c r="A4" s="4" t="s">
        <v>47</v>
      </c>
      <c r="B4" s="4" t="s">
        <v>29</v>
      </c>
      <c r="C4" s="4" t="s">
        <v>9</v>
      </c>
    </row>
    <row r="5" spans="1:3" x14ac:dyDescent="0.25">
      <c r="A5" s="4" t="s">
        <v>46</v>
      </c>
      <c r="B5" s="4" t="s">
        <v>30</v>
      </c>
      <c r="C5" s="4" t="s">
        <v>9</v>
      </c>
    </row>
    <row r="6" spans="1:3" x14ac:dyDescent="0.25">
      <c r="A6" s="4" t="s">
        <v>45</v>
      </c>
      <c r="B6" s="4" t="s">
        <v>31</v>
      </c>
      <c r="C6" s="4" t="s">
        <v>9</v>
      </c>
    </row>
    <row r="7" spans="1:3" x14ac:dyDescent="0.25">
      <c r="A7" s="4" t="s">
        <v>48</v>
      </c>
      <c r="B7" s="4" t="s">
        <v>29</v>
      </c>
      <c r="C7" s="4"/>
    </row>
    <row r="8" spans="1:3" x14ac:dyDescent="0.25">
      <c r="A8" s="4" t="s">
        <v>49</v>
      </c>
      <c r="B8" s="4" t="s">
        <v>30</v>
      </c>
      <c r="C8" s="4"/>
    </row>
    <row r="9" spans="1:3" x14ac:dyDescent="0.25">
      <c r="A9" s="4" t="s">
        <v>50</v>
      </c>
      <c r="B9" s="4" t="s">
        <v>31</v>
      </c>
      <c r="C9" s="4"/>
    </row>
    <row r="10" spans="1:3" x14ac:dyDescent="0.25">
      <c r="A10" s="4" t="s">
        <v>88</v>
      </c>
      <c r="B10" s="4" t="s">
        <v>31</v>
      </c>
      <c r="C10" s="4"/>
    </row>
    <row r="11" spans="1:3" x14ac:dyDescent="0.25">
      <c r="A11" s="4" t="s">
        <v>89</v>
      </c>
      <c r="B11" s="4" t="s">
        <v>99</v>
      </c>
      <c r="C11" s="4"/>
    </row>
    <row r="12" spans="1:3" x14ac:dyDescent="0.25">
      <c r="A12" s="4" t="s">
        <v>106</v>
      </c>
      <c r="B12" s="4" t="s">
        <v>29</v>
      </c>
      <c r="C12" s="4"/>
    </row>
    <row r="13" spans="1:3" x14ac:dyDescent="0.25">
      <c r="A13" s="4" t="s">
        <v>107</v>
      </c>
      <c r="B13" s="4" t="s">
        <v>30</v>
      </c>
      <c r="C13" s="4"/>
    </row>
    <row r="14" spans="1:3" x14ac:dyDescent="0.25">
      <c r="A14" s="4" t="s">
        <v>108</v>
      </c>
      <c r="B14" s="4" t="s">
        <v>31</v>
      </c>
      <c r="C14" s="4"/>
    </row>
    <row r="15" spans="1:3" x14ac:dyDescent="0.25">
      <c r="A15" s="4" t="s">
        <v>109</v>
      </c>
      <c r="B15" s="4" t="s">
        <v>29</v>
      </c>
      <c r="C15" s="4"/>
    </row>
    <row r="16" spans="1:3" x14ac:dyDescent="0.25">
      <c r="A16" s="4" t="s">
        <v>110</v>
      </c>
      <c r="B16" s="4" t="s">
        <v>30</v>
      </c>
      <c r="C16" s="4"/>
    </row>
    <row r="17" spans="1:3" x14ac:dyDescent="0.25">
      <c r="A17" s="4" t="s">
        <v>111</v>
      </c>
      <c r="B17" s="4" t="s">
        <v>31</v>
      </c>
      <c r="C17" s="4"/>
    </row>
    <row r="18" spans="1:3" x14ac:dyDescent="0.25">
      <c r="A18" s="4" t="s">
        <v>112</v>
      </c>
      <c r="B18" s="4" t="s">
        <v>31</v>
      </c>
      <c r="C18" s="4"/>
    </row>
    <row r="19" spans="1:3" x14ac:dyDescent="0.25">
      <c r="A19" s="4" t="s">
        <v>114</v>
      </c>
      <c r="B19" s="4" t="s">
        <v>30</v>
      </c>
      <c r="C19" s="4"/>
    </row>
    <row r="20" spans="1:3" x14ac:dyDescent="0.25">
      <c r="A20" s="4" t="s">
        <v>113</v>
      </c>
      <c r="B20" s="4" t="s">
        <v>30</v>
      </c>
      <c r="C20" s="4"/>
    </row>
    <row r="21" spans="1:3" x14ac:dyDescent="0.25">
      <c r="A21" s="4" t="s">
        <v>115</v>
      </c>
      <c r="B21" s="4" t="s">
        <v>31</v>
      </c>
      <c r="C21" s="4"/>
    </row>
    <row r="22" spans="1:3" x14ac:dyDescent="0.25">
      <c r="A22" s="4"/>
      <c r="B22" s="4"/>
      <c r="C22" s="4"/>
    </row>
    <row r="23" spans="1:3" x14ac:dyDescent="0.25">
      <c r="A23" s="4"/>
      <c r="B23" s="4"/>
      <c r="C23" s="4"/>
    </row>
    <row r="24" spans="1:3" x14ac:dyDescent="0.25">
      <c r="A24" s="4"/>
      <c r="B24" s="4"/>
      <c r="C24" s="4"/>
    </row>
    <row r="25" spans="1:3" x14ac:dyDescent="0.25">
      <c r="A25" s="4"/>
      <c r="B25" s="4"/>
      <c r="C25" s="4"/>
    </row>
    <row r="26" spans="1:3" x14ac:dyDescent="0.25">
      <c r="A26" s="4"/>
      <c r="B26" s="4"/>
      <c r="C26" s="4"/>
    </row>
  </sheetData>
  <autoFilter ref="A1:C11" xr:uid="{D08D40EF-2892-48CC-A0E8-AC6CE1EFE6C5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7F3A8-3028-4346-923B-C61F5F9A91E8}">
  <sheetPr codeName="Sheet15"/>
  <dimension ref="A1:E17"/>
  <sheetViews>
    <sheetView workbookViewId="0"/>
  </sheetViews>
  <sheetFormatPr defaultRowHeight="15" x14ac:dyDescent="0.25"/>
  <cols>
    <col min="1" max="1" width="13.42578125" bestFit="1" customWidth="1"/>
    <col min="2" max="2" width="9.85546875" bestFit="1" customWidth="1"/>
    <col min="3" max="3" width="5.85546875" bestFit="1" customWidth="1"/>
    <col min="4" max="4" width="9.7109375" bestFit="1" customWidth="1"/>
    <col min="5" max="5" width="10" bestFit="1" customWidth="1"/>
  </cols>
  <sheetData>
    <row r="1" spans="1:5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</row>
    <row r="2" spans="1:5" x14ac:dyDescent="0.25">
      <c r="A2" t="s">
        <v>106</v>
      </c>
      <c r="B2" t="s">
        <v>113</v>
      </c>
      <c r="C2">
        <v>7</v>
      </c>
      <c r="D2" t="s">
        <v>30</v>
      </c>
      <c r="E2" t="s">
        <v>58</v>
      </c>
    </row>
    <row r="3" spans="1:5" x14ac:dyDescent="0.25">
      <c r="A3" t="s">
        <v>107</v>
      </c>
      <c r="B3" t="s">
        <v>113</v>
      </c>
      <c r="C3">
        <v>15</v>
      </c>
      <c r="D3" t="s">
        <v>30</v>
      </c>
      <c r="E3" t="s">
        <v>58</v>
      </c>
    </row>
    <row r="4" spans="1:5" x14ac:dyDescent="0.25">
      <c r="A4" t="s">
        <v>108</v>
      </c>
      <c r="B4" t="s">
        <v>113</v>
      </c>
      <c r="C4">
        <v>8</v>
      </c>
      <c r="D4" t="s">
        <v>30</v>
      </c>
      <c r="E4" t="s">
        <v>58</v>
      </c>
    </row>
    <row r="5" spans="1:5" x14ac:dyDescent="0.25">
      <c r="A5" t="s">
        <v>109</v>
      </c>
      <c r="B5" t="s">
        <v>113</v>
      </c>
      <c r="C5">
        <v>12</v>
      </c>
      <c r="D5" t="s">
        <v>30</v>
      </c>
      <c r="E5" t="s">
        <v>58</v>
      </c>
    </row>
    <row r="6" spans="1:5" x14ac:dyDescent="0.25">
      <c r="A6" t="s">
        <v>110</v>
      </c>
      <c r="B6" t="s">
        <v>113</v>
      </c>
      <c r="C6">
        <v>14</v>
      </c>
      <c r="D6" t="s">
        <v>30</v>
      </c>
      <c r="E6" t="s">
        <v>58</v>
      </c>
    </row>
    <row r="7" spans="1:5" x14ac:dyDescent="0.25">
      <c r="A7" t="s">
        <v>111</v>
      </c>
      <c r="B7" t="s">
        <v>113</v>
      </c>
      <c r="C7">
        <v>27</v>
      </c>
      <c r="D7" t="s">
        <v>30</v>
      </c>
      <c r="E7" t="s">
        <v>58</v>
      </c>
    </row>
    <row r="8" spans="1:5" x14ac:dyDescent="0.25">
      <c r="A8" t="s">
        <v>112</v>
      </c>
      <c r="B8" t="s">
        <v>113</v>
      </c>
      <c r="C8">
        <v>32</v>
      </c>
      <c r="D8" t="s">
        <v>30</v>
      </c>
      <c r="E8" t="s">
        <v>58</v>
      </c>
    </row>
    <row r="9" spans="1:5" x14ac:dyDescent="0.25">
      <c r="A9" t="s">
        <v>114</v>
      </c>
      <c r="B9" t="s">
        <v>113</v>
      </c>
      <c r="C9">
        <v>41</v>
      </c>
      <c r="D9" t="s">
        <v>30</v>
      </c>
      <c r="E9" t="s">
        <v>58</v>
      </c>
    </row>
    <row r="10" spans="1:5" x14ac:dyDescent="0.25">
      <c r="A10" t="s">
        <v>106</v>
      </c>
      <c r="B10" t="s">
        <v>115</v>
      </c>
      <c r="C10">
        <v>8</v>
      </c>
      <c r="D10" t="s">
        <v>31</v>
      </c>
      <c r="E10" t="s">
        <v>57</v>
      </c>
    </row>
    <row r="11" spans="1:5" x14ac:dyDescent="0.25">
      <c r="A11" t="s">
        <v>107</v>
      </c>
      <c r="B11" t="s">
        <v>115</v>
      </c>
      <c r="C11">
        <v>5</v>
      </c>
      <c r="D11" t="s">
        <v>31</v>
      </c>
      <c r="E11" t="s">
        <v>57</v>
      </c>
    </row>
    <row r="12" spans="1:5" x14ac:dyDescent="0.25">
      <c r="A12" t="s">
        <v>108</v>
      </c>
      <c r="B12" t="s">
        <v>115</v>
      </c>
      <c r="C12">
        <v>14</v>
      </c>
      <c r="D12" t="s">
        <v>31</v>
      </c>
      <c r="E12" t="s">
        <v>57</v>
      </c>
    </row>
    <row r="13" spans="1:5" x14ac:dyDescent="0.25">
      <c r="A13" t="s">
        <v>109</v>
      </c>
      <c r="B13" t="s">
        <v>115</v>
      </c>
      <c r="C13">
        <v>45</v>
      </c>
      <c r="D13" t="s">
        <v>31</v>
      </c>
      <c r="E13" t="s">
        <v>57</v>
      </c>
    </row>
    <row r="14" spans="1:5" x14ac:dyDescent="0.25">
      <c r="A14" t="s">
        <v>110</v>
      </c>
      <c r="B14" t="s">
        <v>115</v>
      </c>
      <c r="C14">
        <v>12</v>
      </c>
      <c r="D14" t="s">
        <v>31</v>
      </c>
      <c r="E14" t="s">
        <v>57</v>
      </c>
    </row>
    <row r="15" spans="1:5" x14ac:dyDescent="0.25">
      <c r="A15" t="s">
        <v>111</v>
      </c>
      <c r="B15" t="s">
        <v>115</v>
      </c>
      <c r="C15">
        <v>32</v>
      </c>
      <c r="D15" t="s">
        <v>31</v>
      </c>
      <c r="E15" t="s">
        <v>57</v>
      </c>
    </row>
    <row r="16" spans="1:5" x14ac:dyDescent="0.25">
      <c r="A16" t="s">
        <v>112</v>
      </c>
      <c r="B16" t="s">
        <v>115</v>
      </c>
      <c r="C16">
        <v>21</v>
      </c>
      <c r="D16" t="s">
        <v>31</v>
      </c>
      <c r="E16" t="s">
        <v>57</v>
      </c>
    </row>
    <row r="17" spans="1:5" x14ac:dyDescent="0.25">
      <c r="A17" t="s">
        <v>114</v>
      </c>
      <c r="B17" t="s">
        <v>115</v>
      </c>
      <c r="C17">
        <v>52</v>
      </c>
      <c r="D17" t="s">
        <v>31</v>
      </c>
      <c r="E17" t="s">
        <v>57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156CF-F0A9-4D4D-9DF2-06B625413629}">
  <sheetPr codeName="Sheet3"/>
  <dimension ref="A1:F4"/>
  <sheetViews>
    <sheetView workbookViewId="0"/>
  </sheetViews>
  <sheetFormatPr defaultRowHeight="15" x14ac:dyDescent="0.25"/>
  <cols>
    <col min="1" max="1" width="6.85546875" bestFit="1" customWidth="1"/>
    <col min="2" max="2" width="8.7109375" bestFit="1" customWidth="1"/>
    <col min="3" max="3" width="8.140625" bestFit="1" customWidth="1"/>
    <col min="4" max="5" width="12" bestFit="1" customWidth="1"/>
  </cols>
  <sheetData>
    <row r="1" spans="1:6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  <c r="F1" t="s">
        <v>54</v>
      </c>
    </row>
    <row r="2" spans="1:6" x14ac:dyDescent="0.25">
      <c r="A2" t="s">
        <v>45</v>
      </c>
      <c r="B2" t="s">
        <v>53</v>
      </c>
      <c r="C2">
        <v>5</v>
      </c>
      <c r="D2" t="s">
        <v>31</v>
      </c>
      <c r="E2" t="s">
        <v>57</v>
      </c>
      <c r="F2">
        <v>7</v>
      </c>
    </row>
    <row r="3" spans="1:6" x14ac:dyDescent="0.25">
      <c r="A3" t="s">
        <v>46</v>
      </c>
      <c r="B3" t="s">
        <v>53</v>
      </c>
      <c r="C3">
        <v>6</v>
      </c>
      <c r="D3" t="s">
        <v>30</v>
      </c>
      <c r="E3" t="s">
        <v>58</v>
      </c>
      <c r="F3">
        <v>6</v>
      </c>
    </row>
    <row r="4" spans="1:6" x14ac:dyDescent="0.25">
      <c r="A4" t="s">
        <v>47</v>
      </c>
      <c r="B4" t="s">
        <v>53</v>
      </c>
      <c r="C4">
        <v>8</v>
      </c>
      <c r="D4" t="s">
        <v>29</v>
      </c>
      <c r="E4" t="s">
        <v>59</v>
      </c>
      <c r="F4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2F9FA-FB8B-4389-A60B-1F1144EA5CCD}">
  <sheetPr codeName="Sheet18"/>
  <dimension ref="A1:X80"/>
  <sheetViews>
    <sheetView showGridLines="0" tabSelected="1" zoomScale="90" zoomScaleNormal="90" workbookViewId="0">
      <pane ySplit="1" topLeftCell="A2" activePane="bottomLeft" state="frozen"/>
      <selection pane="bottomLeft"/>
    </sheetView>
  </sheetViews>
  <sheetFormatPr defaultColWidth="0" defaultRowHeight="15" x14ac:dyDescent="0.25"/>
  <cols>
    <col min="1" max="1" width="17.42578125" bestFit="1" customWidth="1"/>
    <col min="2" max="2" width="16.7109375" style="19" bestFit="1" customWidth="1"/>
    <col min="3" max="3" width="18.85546875" style="19" bestFit="1" customWidth="1"/>
    <col min="4" max="4" width="16.42578125" style="19" customWidth="1"/>
    <col min="5" max="5" width="17.5703125" style="19" customWidth="1"/>
    <col min="6" max="6" width="24.28515625" style="19" bestFit="1" customWidth="1"/>
    <col min="7" max="7" width="20.7109375" style="19" customWidth="1"/>
    <col min="8" max="8" width="45" style="19" customWidth="1"/>
    <col min="9" max="9" width="40" style="19" bestFit="1" customWidth="1"/>
    <col min="10" max="10" width="7" style="19" bestFit="1" customWidth="1"/>
    <col min="11" max="11" width="31" style="19" customWidth="1"/>
    <col min="12" max="12" width="15.5703125" style="19" bestFit="1" customWidth="1"/>
    <col min="13" max="13" width="11.42578125" style="19" bestFit="1" customWidth="1"/>
    <col min="16" max="24" width="0" style="19" hidden="1" customWidth="1"/>
    <col min="25" max="16384" width="9.140625" style="19" hidden="1"/>
  </cols>
  <sheetData>
    <row r="1" spans="1:15" ht="14.25" x14ac:dyDescent="0.25">
      <c r="A1" s="21" t="s">
        <v>10</v>
      </c>
      <c r="B1" s="22" t="s">
        <v>1</v>
      </c>
      <c r="C1" s="22" t="s">
        <v>11</v>
      </c>
      <c r="D1" s="22" t="s">
        <v>12</v>
      </c>
      <c r="E1" s="22" t="s">
        <v>13</v>
      </c>
      <c r="F1" s="22" t="s">
        <v>126</v>
      </c>
      <c r="G1" s="22" t="s">
        <v>15</v>
      </c>
      <c r="H1" s="22" t="s">
        <v>24</v>
      </c>
      <c r="I1" s="22" t="s">
        <v>16</v>
      </c>
      <c r="J1" s="22" t="s">
        <v>0</v>
      </c>
      <c r="K1" s="22" t="s">
        <v>151</v>
      </c>
      <c r="L1" s="22" t="s">
        <v>128</v>
      </c>
      <c r="M1" s="20" t="s">
        <v>14</v>
      </c>
      <c r="N1" s="22" t="s">
        <v>388</v>
      </c>
      <c r="O1" s="19"/>
    </row>
    <row r="2" spans="1:15" ht="14.25" x14ac:dyDescent="0.25">
      <c r="A2" s="23" t="s">
        <v>157</v>
      </c>
      <c r="B2" s="23" t="s">
        <v>33</v>
      </c>
      <c r="C2" s="23" t="s">
        <v>3</v>
      </c>
      <c r="D2" s="23">
        <v>4</v>
      </c>
      <c r="E2" s="23" t="s">
        <v>9</v>
      </c>
      <c r="F2" s="23" t="s">
        <v>9</v>
      </c>
      <c r="G2" s="23" t="s">
        <v>9</v>
      </c>
      <c r="H2" s="23" t="s">
        <v>9</v>
      </c>
      <c r="I2" s="23" t="s">
        <v>9</v>
      </c>
      <c r="J2" s="23">
        <v>1</v>
      </c>
      <c r="K2" s="23" t="str">
        <f t="shared" ref="K2:K40" si="0">M2&amp;"."&amp;A2&amp;"."&amp;B2&amp;"."&amp;F2</f>
        <v>1.focus_in.home_1..</v>
      </c>
      <c r="L2" s="23" t="s">
        <v>9</v>
      </c>
      <c r="M2" s="23">
        <v>1</v>
      </c>
      <c r="N2" s="23"/>
      <c r="O2" s="19"/>
    </row>
    <row r="3" spans="1:15" ht="14.25" x14ac:dyDescent="0.25">
      <c r="A3" s="23" t="s">
        <v>157</v>
      </c>
      <c r="B3" s="23" t="s">
        <v>33</v>
      </c>
      <c r="C3" s="23" t="s">
        <v>8</v>
      </c>
      <c r="D3" s="23">
        <v>2</v>
      </c>
      <c r="E3" s="23" t="s">
        <v>9</v>
      </c>
      <c r="F3" s="23" t="s">
        <v>9</v>
      </c>
      <c r="G3" s="23" t="s">
        <v>9</v>
      </c>
      <c r="H3" s="23" t="s">
        <v>9</v>
      </c>
      <c r="I3" s="23" t="s">
        <v>9</v>
      </c>
      <c r="J3" s="23">
        <v>1</v>
      </c>
      <c r="K3" s="23" t="str">
        <f t="shared" si="0"/>
        <v>1.focus_in.home_1..</v>
      </c>
      <c r="L3" s="23" t="s">
        <v>9</v>
      </c>
      <c r="M3" s="23">
        <v>1</v>
      </c>
      <c r="N3" s="23"/>
      <c r="O3" s="19"/>
    </row>
    <row r="4" spans="1:15" ht="14.25" x14ac:dyDescent="0.25">
      <c r="A4" s="24" t="s">
        <v>157</v>
      </c>
      <c r="B4" s="24" t="s">
        <v>139</v>
      </c>
      <c r="C4" s="24" t="s">
        <v>2</v>
      </c>
      <c r="D4" s="24">
        <v>9</v>
      </c>
      <c r="E4" s="24" t="s">
        <v>9</v>
      </c>
      <c r="F4" s="24" t="s">
        <v>9</v>
      </c>
      <c r="G4" s="24" t="s">
        <v>9</v>
      </c>
      <c r="H4" s="24" t="s">
        <v>9</v>
      </c>
      <c r="I4" s="24" t="s">
        <v>9</v>
      </c>
      <c r="J4" s="24">
        <v>1</v>
      </c>
      <c r="K4" s="24" t="str">
        <f t="shared" si="0"/>
        <v>2.focus_in.1chart..</v>
      </c>
      <c r="L4" s="24" t="s">
        <v>9</v>
      </c>
      <c r="M4" s="24">
        <v>2</v>
      </c>
      <c r="N4" s="24"/>
      <c r="O4" s="19"/>
    </row>
    <row r="5" spans="1:15" ht="14.25" x14ac:dyDescent="0.25">
      <c r="A5" s="24" t="s">
        <v>157</v>
      </c>
      <c r="B5" s="24" t="s">
        <v>139</v>
      </c>
      <c r="C5" s="24" t="s">
        <v>3</v>
      </c>
      <c r="D5" s="24">
        <v>7</v>
      </c>
      <c r="E5" s="24" t="s">
        <v>391</v>
      </c>
      <c r="F5" s="24" t="s">
        <v>9</v>
      </c>
      <c r="G5" s="24" t="s">
        <v>9</v>
      </c>
      <c r="H5" s="24" t="s">
        <v>9</v>
      </c>
      <c r="I5" s="24" t="s">
        <v>9</v>
      </c>
      <c r="J5" s="24">
        <v>1</v>
      </c>
      <c r="K5" s="24" t="str">
        <f t="shared" si="0"/>
        <v>2.focus_in.1chart..</v>
      </c>
      <c r="L5" s="24" t="s">
        <v>9</v>
      </c>
      <c r="M5" s="24">
        <v>2</v>
      </c>
      <c r="N5" s="24"/>
      <c r="O5" s="19"/>
    </row>
    <row r="6" spans="1:15" ht="14.25" x14ac:dyDescent="0.25">
      <c r="A6" s="24" t="s">
        <v>157</v>
      </c>
      <c r="B6" s="24" t="s">
        <v>139</v>
      </c>
      <c r="C6" s="24" t="s">
        <v>4</v>
      </c>
      <c r="D6" s="24">
        <v>6</v>
      </c>
      <c r="E6" s="24" t="s">
        <v>9</v>
      </c>
      <c r="F6" s="24" t="s">
        <v>9</v>
      </c>
      <c r="G6" s="24" t="s">
        <v>9</v>
      </c>
      <c r="H6" s="24" t="s">
        <v>9</v>
      </c>
      <c r="I6" s="24" t="s">
        <v>9</v>
      </c>
      <c r="J6" s="24">
        <v>1</v>
      </c>
      <c r="K6" s="24" t="str">
        <f t="shared" si="0"/>
        <v>2.focus_in.1chart..</v>
      </c>
      <c r="L6" s="24" t="s">
        <v>9</v>
      </c>
      <c r="M6" s="24">
        <v>2</v>
      </c>
      <c r="N6" s="24"/>
      <c r="O6" s="19"/>
    </row>
    <row r="7" spans="1:15" ht="14.25" x14ac:dyDescent="0.25">
      <c r="A7" s="24" t="s">
        <v>157</v>
      </c>
      <c r="B7" s="24" t="s">
        <v>139</v>
      </c>
      <c r="C7" s="24" t="s">
        <v>5</v>
      </c>
      <c r="D7" s="24">
        <v>5</v>
      </c>
      <c r="E7" s="24" t="s">
        <v>9</v>
      </c>
      <c r="F7" s="24" t="s">
        <v>9</v>
      </c>
      <c r="G7" s="24" t="s">
        <v>9</v>
      </c>
      <c r="H7" s="24" t="s">
        <v>9</v>
      </c>
      <c r="I7" s="24" t="s">
        <v>9</v>
      </c>
      <c r="J7" s="24">
        <v>1</v>
      </c>
      <c r="K7" s="24" t="str">
        <f t="shared" si="0"/>
        <v>2.focus_in.1chart..</v>
      </c>
      <c r="L7" s="24" t="s">
        <v>9</v>
      </c>
      <c r="M7" s="24">
        <v>2</v>
      </c>
      <c r="N7" s="24"/>
      <c r="O7" s="19"/>
    </row>
    <row r="8" spans="1:15" ht="14.25" x14ac:dyDescent="0.25">
      <c r="A8" s="24" t="s">
        <v>157</v>
      </c>
      <c r="B8" s="24" t="s">
        <v>139</v>
      </c>
      <c r="C8" s="24" t="s">
        <v>6</v>
      </c>
      <c r="D8" s="24">
        <v>3</v>
      </c>
      <c r="E8" s="24" t="s">
        <v>9</v>
      </c>
      <c r="F8" s="24" t="s">
        <v>35</v>
      </c>
      <c r="G8" s="24" t="s">
        <v>61</v>
      </c>
      <c r="H8" s="24" t="s">
        <v>390</v>
      </c>
      <c r="I8" s="24" t="s">
        <v>9</v>
      </c>
      <c r="J8" s="24">
        <v>1</v>
      </c>
      <c r="K8" s="24" t="str">
        <f t="shared" si="0"/>
        <v>2.focus_in.1chart.xyv_multiline</v>
      </c>
      <c r="L8" s="24" t="s">
        <v>9</v>
      </c>
      <c r="M8" s="24">
        <v>2</v>
      </c>
      <c r="N8" s="24"/>
      <c r="O8" s="19"/>
    </row>
    <row r="9" spans="1:15" ht="14.25" x14ac:dyDescent="0.25">
      <c r="A9" s="24" t="s">
        <v>157</v>
      </c>
      <c r="B9" s="24" t="s">
        <v>139</v>
      </c>
      <c r="C9" s="24" t="s">
        <v>8</v>
      </c>
      <c r="D9" s="24">
        <v>2</v>
      </c>
      <c r="E9" s="24" t="s">
        <v>9</v>
      </c>
      <c r="F9" s="24" t="s">
        <v>9</v>
      </c>
      <c r="G9" s="24" t="s">
        <v>9</v>
      </c>
      <c r="H9" s="24" t="s">
        <v>9</v>
      </c>
      <c r="I9" s="24" t="s">
        <v>9</v>
      </c>
      <c r="J9" s="24">
        <v>1</v>
      </c>
      <c r="K9" s="24" t="str">
        <f t="shared" si="0"/>
        <v>2.focus_in.1chart..</v>
      </c>
      <c r="L9" s="24" t="s">
        <v>9</v>
      </c>
      <c r="M9" s="24">
        <v>2</v>
      </c>
      <c r="N9" s="24"/>
      <c r="O9" s="19"/>
    </row>
    <row r="10" spans="1:15" ht="14.25" x14ac:dyDescent="0.2">
      <c r="A10" s="26" t="s">
        <v>157</v>
      </c>
      <c r="B10" s="26" t="s">
        <v>94</v>
      </c>
      <c r="C10" s="26" t="s">
        <v>3</v>
      </c>
      <c r="D10" s="26">
        <v>8</v>
      </c>
      <c r="E10" s="26" t="s">
        <v>392</v>
      </c>
      <c r="F10" s="26" t="s">
        <v>9</v>
      </c>
      <c r="G10" s="26" t="s">
        <v>9</v>
      </c>
      <c r="H10" s="26" t="s">
        <v>9</v>
      </c>
      <c r="I10" s="26" t="s">
        <v>9</v>
      </c>
      <c r="J10" s="26">
        <v>1</v>
      </c>
      <c r="K10" s="23" t="str">
        <f t="shared" si="0"/>
        <v>3.focus_in.2c_overlap..</v>
      </c>
      <c r="L10" s="26" t="s">
        <v>9</v>
      </c>
      <c r="M10" s="26">
        <v>3</v>
      </c>
      <c r="N10" s="23"/>
      <c r="O10" s="19"/>
    </row>
    <row r="11" spans="1:15" ht="14.25" x14ac:dyDescent="0.2">
      <c r="A11" s="26" t="s">
        <v>157</v>
      </c>
      <c r="B11" s="26" t="s">
        <v>94</v>
      </c>
      <c r="C11" s="26" t="s">
        <v>4</v>
      </c>
      <c r="D11" s="26">
        <v>7</v>
      </c>
      <c r="E11" s="26" t="s">
        <v>9</v>
      </c>
      <c r="F11" s="26" t="s">
        <v>9</v>
      </c>
      <c r="G11" s="26" t="s">
        <v>9</v>
      </c>
      <c r="H11" s="26" t="s">
        <v>9</v>
      </c>
      <c r="I11" s="26" t="s">
        <v>9</v>
      </c>
      <c r="J11" s="26">
        <v>1</v>
      </c>
      <c r="K11" s="23" t="str">
        <f t="shared" si="0"/>
        <v>3.focus_in.2c_overlap..</v>
      </c>
      <c r="L11" s="26" t="s">
        <v>9</v>
      </c>
      <c r="M11" s="26">
        <v>3</v>
      </c>
      <c r="N11" s="23"/>
      <c r="O11" s="19"/>
    </row>
    <row r="12" spans="1:15" ht="14.25" x14ac:dyDescent="0.2">
      <c r="A12" s="26" t="s">
        <v>157</v>
      </c>
      <c r="B12" s="26" t="s">
        <v>94</v>
      </c>
      <c r="C12" s="26" t="s">
        <v>5</v>
      </c>
      <c r="D12" s="26">
        <v>6</v>
      </c>
      <c r="E12" s="26" t="s">
        <v>9</v>
      </c>
      <c r="F12" s="26" t="s">
        <v>9</v>
      </c>
      <c r="G12" s="26" t="s">
        <v>9</v>
      </c>
      <c r="H12" s="26" t="s">
        <v>9</v>
      </c>
      <c r="I12" s="26" t="s">
        <v>9</v>
      </c>
      <c r="J12" s="26">
        <v>1</v>
      </c>
      <c r="K12" s="23" t="str">
        <f t="shared" si="0"/>
        <v>3.focus_in.2c_overlap..</v>
      </c>
      <c r="L12" s="26" t="s">
        <v>9</v>
      </c>
      <c r="M12" s="26">
        <v>3</v>
      </c>
      <c r="N12" s="23"/>
      <c r="O12" s="19"/>
    </row>
    <row r="13" spans="1:15" ht="14.25" x14ac:dyDescent="0.2">
      <c r="A13" s="26" t="s">
        <v>157</v>
      </c>
      <c r="B13" s="26" t="s">
        <v>94</v>
      </c>
      <c r="C13" s="26" t="s">
        <v>6</v>
      </c>
      <c r="D13" s="26">
        <v>4</v>
      </c>
      <c r="E13" s="26" t="s">
        <v>9</v>
      </c>
      <c r="F13" s="26" t="s">
        <v>35</v>
      </c>
      <c r="G13" s="26" t="s">
        <v>61</v>
      </c>
      <c r="H13" s="23" t="s">
        <v>149</v>
      </c>
      <c r="I13" s="26" t="s">
        <v>9</v>
      </c>
      <c r="J13" s="26">
        <v>1</v>
      </c>
      <c r="K13" s="23" t="str">
        <f t="shared" si="0"/>
        <v>3.focus_in.2c_overlap.xyv_multiline</v>
      </c>
      <c r="L13" s="26" t="s">
        <v>9</v>
      </c>
      <c r="M13" s="26">
        <v>3</v>
      </c>
      <c r="N13" s="23"/>
      <c r="O13" s="19"/>
    </row>
    <row r="14" spans="1:15" ht="14.25" x14ac:dyDescent="0.2">
      <c r="A14" s="26" t="s">
        <v>157</v>
      </c>
      <c r="B14" s="26" t="s">
        <v>94</v>
      </c>
      <c r="C14" s="26" t="s">
        <v>7</v>
      </c>
      <c r="D14" s="26">
        <v>3</v>
      </c>
      <c r="E14" s="26" t="s">
        <v>9</v>
      </c>
      <c r="F14" s="26" t="s">
        <v>38</v>
      </c>
      <c r="G14" s="26" t="s">
        <v>39</v>
      </c>
      <c r="H14" s="26" t="s">
        <v>236</v>
      </c>
      <c r="I14" s="26" t="s">
        <v>9</v>
      </c>
      <c r="J14" s="26">
        <v>1</v>
      </c>
      <c r="K14" s="23" t="str">
        <f t="shared" si="0"/>
        <v>3.focus_in.2c_overlap.xy_hr_bar</v>
      </c>
      <c r="L14" s="26" t="s">
        <v>9</v>
      </c>
      <c r="M14" s="26">
        <v>3</v>
      </c>
      <c r="N14" s="23"/>
      <c r="O14" s="19"/>
    </row>
    <row r="15" spans="1:15" ht="14.25" x14ac:dyDescent="0.2">
      <c r="A15" s="26" t="s">
        <v>157</v>
      </c>
      <c r="B15" s="26" t="s">
        <v>94</v>
      </c>
      <c r="C15" s="26" t="s">
        <v>8</v>
      </c>
      <c r="D15" s="26">
        <v>2</v>
      </c>
      <c r="E15" s="26" t="s">
        <v>9</v>
      </c>
      <c r="F15" s="26" t="s">
        <v>9</v>
      </c>
      <c r="G15" s="26" t="s">
        <v>9</v>
      </c>
      <c r="H15" s="26" t="s">
        <v>9</v>
      </c>
      <c r="I15" s="26" t="s">
        <v>9</v>
      </c>
      <c r="J15" s="26">
        <v>1</v>
      </c>
      <c r="K15" s="23" t="str">
        <f t="shared" si="0"/>
        <v>3.focus_in.2c_overlap..</v>
      </c>
      <c r="L15" s="26" t="s">
        <v>9</v>
      </c>
      <c r="M15" s="26">
        <v>3</v>
      </c>
      <c r="N15" s="23"/>
      <c r="O15" s="19"/>
    </row>
    <row r="16" spans="1:15" ht="14.25" x14ac:dyDescent="0.25">
      <c r="A16" s="24" t="s">
        <v>157</v>
      </c>
      <c r="B16" s="24" t="s">
        <v>129</v>
      </c>
      <c r="C16" s="24" t="s">
        <v>2</v>
      </c>
      <c r="D16" s="24">
        <v>11</v>
      </c>
      <c r="E16" s="24" t="s">
        <v>9</v>
      </c>
      <c r="F16" s="24" t="s">
        <v>9</v>
      </c>
      <c r="G16" s="24" t="s">
        <v>9</v>
      </c>
      <c r="H16" s="24" t="s">
        <v>9</v>
      </c>
      <c r="I16" s="24" t="s">
        <v>9</v>
      </c>
      <c r="J16" s="24">
        <v>1</v>
      </c>
      <c r="K16" s="24" t="str">
        <f t="shared" si="0"/>
        <v>4.focus_in.1c1i_overlap..</v>
      </c>
      <c r="L16" s="24" t="s">
        <v>9</v>
      </c>
      <c r="M16" s="24">
        <v>4</v>
      </c>
      <c r="N16" s="24"/>
      <c r="O16" s="19"/>
    </row>
    <row r="17" spans="1:15" ht="14.25" x14ac:dyDescent="0.25">
      <c r="A17" s="24" t="s">
        <v>157</v>
      </c>
      <c r="B17" s="24" t="s">
        <v>129</v>
      </c>
      <c r="C17" s="24" t="s">
        <v>3</v>
      </c>
      <c r="D17" s="24">
        <v>8</v>
      </c>
      <c r="E17" s="24" t="s">
        <v>394</v>
      </c>
      <c r="F17" s="24" t="s">
        <v>9</v>
      </c>
      <c r="G17" s="24" t="s">
        <v>9</v>
      </c>
      <c r="H17" s="24" t="s">
        <v>9</v>
      </c>
      <c r="I17" s="24" t="s">
        <v>9</v>
      </c>
      <c r="J17" s="24">
        <v>1</v>
      </c>
      <c r="K17" s="24" t="str">
        <f t="shared" si="0"/>
        <v>4.focus_in.1c1i_overlap..</v>
      </c>
      <c r="L17" s="24" t="s">
        <v>9</v>
      </c>
      <c r="M17" s="24">
        <v>4</v>
      </c>
      <c r="N17" s="24"/>
      <c r="O17" s="19"/>
    </row>
    <row r="18" spans="1:15" ht="14.25" x14ac:dyDescent="0.25">
      <c r="A18" s="24" t="s">
        <v>157</v>
      </c>
      <c r="B18" s="24" t="s">
        <v>129</v>
      </c>
      <c r="C18" s="24" t="s">
        <v>8</v>
      </c>
      <c r="D18" s="24">
        <v>7</v>
      </c>
      <c r="E18" s="24" t="s">
        <v>9</v>
      </c>
      <c r="F18" s="24" t="s">
        <v>9</v>
      </c>
      <c r="G18" s="24" t="s">
        <v>9</v>
      </c>
      <c r="H18" s="24" t="s">
        <v>9</v>
      </c>
      <c r="I18" s="24" t="s">
        <v>9</v>
      </c>
      <c r="J18" s="24">
        <v>1</v>
      </c>
      <c r="K18" s="24" t="str">
        <f t="shared" si="0"/>
        <v>4.focus_in.1c1i_overlap..</v>
      </c>
      <c r="L18" s="24" t="s">
        <v>9</v>
      </c>
      <c r="M18" s="24">
        <v>4</v>
      </c>
      <c r="N18" s="24"/>
      <c r="O18" s="19"/>
    </row>
    <row r="19" spans="1:15" ht="14.25" x14ac:dyDescent="0.25">
      <c r="A19" s="24" t="s">
        <v>157</v>
      </c>
      <c r="B19" s="24" t="s">
        <v>129</v>
      </c>
      <c r="C19" s="24" t="s">
        <v>4</v>
      </c>
      <c r="D19" s="24">
        <v>6</v>
      </c>
      <c r="E19" s="24" t="s">
        <v>9</v>
      </c>
      <c r="F19" s="24" t="s">
        <v>9</v>
      </c>
      <c r="G19" s="24" t="s">
        <v>9</v>
      </c>
      <c r="H19" s="24" t="s">
        <v>9</v>
      </c>
      <c r="I19" s="24" t="s">
        <v>9</v>
      </c>
      <c r="J19" s="24">
        <v>1</v>
      </c>
      <c r="K19" s="24" t="str">
        <f t="shared" si="0"/>
        <v>4.focus_in.1c1i_overlap..</v>
      </c>
      <c r="L19" s="24" t="s">
        <v>9</v>
      </c>
      <c r="M19" s="24">
        <v>4</v>
      </c>
      <c r="N19" s="24"/>
      <c r="O19" s="19"/>
    </row>
    <row r="20" spans="1:15" ht="14.25" x14ac:dyDescent="0.25">
      <c r="A20" s="24" t="s">
        <v>157</v>
      </c>
      <c r="B20" s="24" t="s">
        <v>129</v>
      </c>
      <c r="C20" s="24" t="s">
        <v>5</v>
      </c>
      <c r="D20" s="24">
        <v>5</v>
      </c>
      <c r="E20" s="24" t="s">
        <v>9</v>
      </c>
      <c r="F20" s="24" t="s">
        <v>9</v>
      </c>
      <c r="G20" s="24" t="s">
        <v>9</v>
      </c>
      <c r="H20" s="24" t="s">
        <v>9</v>
      </c>
      <c r="I20" s="24" t="s">
        <v>9</v>
      </c>
      <c r="J20" s="24">
        <v>1</v>
      </c>
      <c r="K20" s="24" t="str">
        <f t="shared" si="0"/>
        <v>4.focus_in.1c1i_overlap..</v>
      </c>
      <c r="L20" s="24" t="s">
        <v>9</v>
      </c>
      <c r="M20" s="24">
        <v>4</v>
      </c>
      <c r="N20" s="24"/>
      <c r="O20" s="19"/>
    </row>
    <row r="21" spans="1:15" ht="14.25" x14ac:dyDescent="0.25">
      <c r="A21" s="24" t="s">
        <v>157</v>
      </c>
      <c r="B21" s="24" t="s">
        <v>129</v>
      </c>
      <c r="C21" s="24" t="s">
        <v>6</v>
      </c>
      <c r="D21" s="24">
        <v>3</v>
      </c>
      <c r="E21" s="24" t="s">
        <v>9</v>
      </c>
      <c r="F21" s="24" t="s">
        <v>35</v>
      </c>
      <c r="G21" s="24" t="s">
        <v>61</v>
      </c>
      <c r="H21" s="24" t="s">
        <v>149</v>
      </c>
      <c r="I21" s="24" t="s">
        <v>9</v>
      </c>
      <c r="J21" s="24">
        <v>1</v>
      </c>
      <c r="K21" s="24" t="str">
        <f t="shared" si="0"/>
        <v>4.focus_in.1c1i_overlap.xyv_multiline</v>
      </c>
      <c r="L21" s="24" t="s">
        <v>9</v>
      </c>
      <c r="M21" s="24">
        <v>4</v>
      </c>
      <c r="N21" s="24"/>
      <c r="O21" s="19"/>
    </row>
    <row r="22" spans="1:15" ht="14.25" x14ac:dyDescent="0.2">
      <c r="A22" s="24" t="s">
        <v>157</v>
      </c>
      <c r="B22" s="24" t="s">
        <v>129</v>
      </c>
      <c r="C22" s="24" t="s">
        <v>130</v>
      </c>
      <c r="D22" s="24">
        <v>2</v>
      </c>
      <c r="E22" s="24" t="s">
        <v>9</v>
      </c>
      <c r="F22" s="24" t="s">
        <v>137</v>
      </c>
      <c r="G22" s="24" t="s">
        <v>138</v>
      </c>
      <c r="H22" s="25" t="s">
        <v>152</v>
      </c>
      <c r="I22" s="24" t="s">
        <v>9</v>
      </c>
      <c r="J22" s="24">
        <v>1</v>
      </c>
      <c r="K22" s="24" t="str">
        <f t="shared" si="0"/>
        <v>4.focus_in.1c1i_overlap.xyz_hr_bar_k</v>
      </c>
      <c r="L22" s="24">
        <v>1</v>
      </c>
      <c r="M22" s="24">
        <v>4</v>
      </c>
      <c r="N22" s="24"/>
      <c r="O22" s="19"/>
    </row>
    <row r="23" spans="1:15" ht="14.25" x14ac:dyDescent="0.2">
      <c r="A23" s="26" t="s">
        <v>157</v>
      </c>
      <c r="B23" s="26" t="s">
        <v>139</v>
      </c>
      <c r="C23" s="26" t="s">
        <v>2</v>
      </c>
      <c r="D23" s="26">
        <v>9</v>
      </c>
      <c r="E23" s="26" t="s">
        <v>9</v>
      </c>
      <c r="F23" s="26" t="s">
        <v>9</v>
      </c>
      <c r="G23" s="26" t="s">
        <v>9</v>
      </c>
      <c r="H23" s="26" t="s">
        <v>9</v>
      </c>
      <c r="I23" s="26" t="s">
        <v>9</v>
      </c>
      <c r="J23" s="26">
        <v>1</v>
      </c>
      <c r="K23" s="23" t="str">
        <f t="shared" si="0"/>
        <v>5.focus_in.1chart..</v>
      </c>
      <c r="L23" s="26" t="s">
        <v>9</v>
      </c>
      <c r="M23" s="26">
        <v>5</v>
      </c>
      <c r="N23" s="23"/>
      <c r="O23" s="19"/>
    </row>
    <row r="24" spans="1:15" ht="14.25" x14ac:dyDescent="0.2">
      <c r="A24" s="26" t="s">
        <v>157</v>
      </c>
      <c r="B24" s="26" t="s">
        <v>139</v>
      </c>
      <c r="C24" s="26" t="s">
        <v>3</v>
      </c>
      <c r="D24" s="26">
        <v>7</v>
      </c>
      <c r="E24" s="26" t="s">
        <v>393</v>
      </c>
      <c r="F24" s="26" t="s">
        <v>9</v>
      </c>
      <c r="G24" s="26" t="s">
        <v>9</v>
      </c>
      <c r="H24" s="26" t="s">
        <v>9</v>
      </c>
      <c r="I24" s="26" t="s">
        <v>9</v>
      </c>
      <c r="J24" s="26">
        <v>1</v>
      </c>
      <c r="K24" s="23" t="str">
        <f t="shared" si="0"/>
        <v>5.focus_in.1chart..</v>
      </c>
      <c r="L24" s="26" t="s">
        <v>9</v>
      </c>
      <c r="M24" s="26">
        <v>5</v>
      </c>
      <c r="N24" s="23"/>
      <c r="O24" s="19"/>
    </row>
    <row r="25" spans="1:15" ht="14.25" x14ac:dyDescent="0.2">
      <c r="A25" s="26" t="s">
        <v>157</v>
      </c>
      <c r="B25" s="26" t="s">
        <v>139</v>
      </c>
      <c r="C25" s="26" t="s">
        <v>4</v>
      </c>
      <c r="D25" s="26">
        <v>6</v>
      </c>
      <c r="E25" s="26" t="s">
        <v>9</v>
      </c>
      <c r="F25" s="26" t="s">
        <v>9</v>
      </c>
      <c r="G25" s="26" t="s">
        <v>9</v>
      </c>
      <c r="H25" s="26" t="s">
        <v>9</v>
      </c>
      <c r="I25" s="26" t="s">
        <v>9</v>
      </c>
      <c r="J25" s="26">
        <v>1</v>
      </c>
      <c r="K25" s="23" t="str">
        <f t="shared" si="0"/>
        <v>5.focus_in.1chart..</v>
      </c>
      <c r="L25" s="26" t="s">
        <v>9</v>
      </c>
      <c r="M25" s="26">
        <v>5</v>
      </c>
      <c r="N25" s="23"/>
      <c r="O25" s="19"/>
    </row>
    <row r="26" spans="1:15" ht="14.25" x14ac:dyDescent="0.2">
      <c r="A26" s="26" t="s">
        <v>157</v>
      </c>
      <c r="B26" s="26" t="s">
        <v>139</v>
      </c>
      <c r="C26" s="26" t="s">
        <v>5</v>
      </c>
      <c r="D26" s="26">
        <v>5</v>
      </c>
      <c r="E26" s="26" t="s">
        <v>9</v>
      </c>
      <c r="F26" s="26" t="s">
        <v>9</v>
      </c>
      <c r="G26" s="26" t="s">
        <v>9</v>
      </c>
      <c r="H26" s="26" t="s">
        <v>9</v>
      </c>
      <c r="I26" s="26" t="s">
        <v>9</v>
      </c>
      <c r="J26" s="26">
        <v>1</v>
      </c>
      <c r="K26" s="23" t="str">
        <f t="shared" si="0"/>
        <v>5.focus_in.1chart..</v>
      </c>
      <c r="L26" s="26" t="s">
        <v>9</v>
      </c>
      <c r="M26" s="26">
        <v>5</v>
      </c>
      <c r="N26" s="23"/>
      <c r="O26" s="19"/>
    </row>
    <row r="27" spans="1:15" ht="14.25" x14ac:dyDescent="0.2">
      <c r="A27" s="26" t="s">
        <v>157</v>
      </c>
      <c r="B27" s="26" t="s">
        <v>139</v>
      </c>
      <c r="C27" s="26" t="s">
        <v>6</v>
      </c>
      <c r="D27" s="26">
        <v>3</v>
      </c>
      <c r="E27" s="26" t="s">
        <v>9</v>
      </c>
      <c r="F27" s="26" t="s">
        <v>105</v>
      </c>
      <c r="G27" s="26" t="s">
        <v>51</v>
      </c>
      <c r="H27" s="26" t="s">
        <v>383</v>
      </c>
      <c r="I27" s="26" t="s">
        <v>9</v>
      </c>
      <c r="J27" s="26">
        <v>1</v>
      </c>
      <c r="K27" s="23" t="str">
        <f t="shared" si="0"/>
        <v>5.focus_in.1chart.xyv_stacked_bar</v>
      </c>
      <c r="L27" s="26" t="s">
        <v>9</v>
      </c>
      <c r="M27" s="26">
        <v>5</v>
      </c>
      <c r="N27" s="23"/>
      <c r="O27" s="19"/>
    </row>
    <row r="28" spans="1:15" ht="14.25" x14ac:dyDescent="0.2">
      <c r="A28" s="26" t="s">
        <v>157</v>
      </c>
      <c r="B28" s="26" t="s">
        <v>139</v>
      </c>
      <c r="C28" s="26" t="s">
        <v>8</v>
      </c>
      <c r="D28" s="26">
        <v>2</v>
      </c>
      <c r="E28" s="26" t="s">
        <v>9</v>
      </c>
      <c r="F28" s="26" t="s">
        <v>9</v>
      </c>
      <c r="G28" s="26" t="s">
        <v>9</v>
      </c>
      <c r="H28" s="26" t="s">
        <v>9</v>
      </c>
      <c r="I28" s="26" t="s">
        <v>9</v>
      </c>
      <c r="J28" s="26">
        <v>1</v>
      </c>
      <c r="K28" s="23" t="str">
        <f t="shared" si="0"/>
        <v>5.focus_in.1chart..</v>
      </c>
      <c r="L28" s="26" t="s">
        <v>9</v>
      </c>
      <c r="M28" s="26">
        <v>5</v>
      </c>
      <c r="N28" s="23"/>
      <c r="O28" s="19"/>
    </row>
    <row r="29" spans="1:15" x14ac:dyDescent="0.25">
      <c r="A29" s="25" t="s">
        <v>157</v>
      </c>
      <c r="B29" s="27" t="s">
        <v>95</v>
      </c>
      <c r="C29" s="27" t="s">
        <v>2</v>
      </c>
      <c r="D29" s="27">
        <v>13</v>
      </c>
      <c r="E29" s="27" t="s">
        <v>9</v>
      </c>
      <c r="F29" s="27" t="s">
        <v>9</v>
      </c>
      <c r="G29" s="27" t="s">
        <v>9</v>
      </c>
      <c r="H29" s="27" t="s">
        <v>9</v>
      </c>
      <c r="I29" s="27" t="s">
        <v>9</v>
      </c>
      <c r="J29" s="27">
        <v>1</v>
      </c>
      <c r="K29" s="24" t="str">
        <f t="shared" si="0"/>
        <v>6.focus_in.2c_compare..</v>
      </c>
      <c r="L29" s="27" t="s">
        <v>9</v>
      </c>
      <c r="M29" s="27">
        <v>6</v>
      </c>
      <c r="N29" s="24">
        <v>10</v>
      </c>
      <c r="O29" s="19"/>
    </row>
    <row r="30" spans="1:15" x14ac:dyDescent="0.25">
      <c r="A30" s="25" t="s">
        <v>157</v>
      </c>
      <c r="B30" s="27" t="s">
        <v>95</v>
      </c>
      <c r="C30" s="27" t="s">
        <v>3</v>
      </c>
      <c r="D30" s="27">
        <v>11</v>
      </c>
      <c r="E30" s="27" t="s">
        <v>153</v>
      </c>
      <c r="F30" s="27" t="s">
        <v>9</v>
      </c>
      <c r="G30" s="27" t="s">
        <v>9</v>
      </c>
      <c r="H30" s="27" t="s">
        <v>9</v>
      </c>
      <c r="I30" s="27" t="s">
        <v>9</v>
      </c>
      <c r="J30" s="27">
        <v>1</v>
      </c>
      <c r="K30" s="24" t="str">
        <f t="shared" si="0"/>
        <v>6.focus_in.2c_compare..</v>
      </c>
      <c r="L30" s="27" t="s">
        <v>9</v>
      </c>
      <c r="M30" s="27">
        <v>6</v>
      </c>
      <c r="N30" s="24">
        <v>10</v>
      </c>
      <c r="O30" s="19"/>
    </row>
    <row r="31" spans="1:15" x14ac:dyDescent="0.25">
      <c r="A31" s="25" t="s">
        <v>157</v>
      </c>
      <c r="B31" s="27" t="s">
        <v>95</v>
      </c>
      <c r="C31" s="27" t="s">
        <v>384</v>
      </c>
      <c r="D31" s="27">
        <v>10</v>
      </c>
      <c r="E31" s="27" t="s">
        <v>9</v>
      </c>
      <c r="F31" s="27" t="s">
        <v>9</v>
      </c>
      <c r="G31" s="27" t="s">
        <v>9</v>
      </c>
      <c r="H31" s="27" t="s">
        <v>9</v>
      </c>
      <c r="I31" s="27" t="s">
        <v>9</v>
      </c>
      <c r="J31" s="27">
        <v>1</v>
      </c>
      <c r="K31" s="24" t="str">
        <f t="shared" si="0"/>
        <v>6.focus_in.2c_compare..</v>
      </c>
      <c r="L31" s="27" t="s">
        <v>9</v>
      </c>
      <c r="M31" s="27">
        <v>6</v>
      </c>
      <c r="N31" s="24">
        <v>10</v>
      </c>
      <c r="O31" s="19"/>
    </row>
    <row r="32" spans="1:15" x14ac:dyDescent="0.25">
      <c r="A32" s="25" t="s">
        <v>157</v>
      </c>
      <c r="B32" s="27" t="s">
        <v>95</v>
      </c>
      <c r="C32" s="27" t="s">
        <v>385</v>
      </c>
      <c r="D32" s="27">
        <v>9</v>
      </c>
      <c r="E32" s="27" t="s">
        <v>9</v>
      </c>
      <c r="F32" s="27" t="s">
        <v>9</v>
      </c>
      <c r="G32" s="27" t="s">
        <v>9</v>
      </c>
      <c r="H32" s="27" t="s">
        <v>9</v>
      </c>
      <c r="I32" s="27" t="s">
        <v>9</v>
      </c>
      <c r="J32" s="27">
        <v>1</v>
      </c>
      <c r="K32" s="24" t="str">
        <f t="shared" si="0"/>
        <v>6.focus_in.2c_compare..</v>
      </c>
      <c r="L32" s="27" t="s">
        <v>9</v>
      </c>
      <c r="M32" s="27">
        <v>6</v>
      </c>
      <c r="N32" s="24">
        <v>10</v>
      </c>
      <c r="O32" s="19"/>
    </row>
    <row r="33" spans="1:15" x14ac:dyDescent="0.25">
      <c r="A33" s="25" t="s">
        <v>157</v>
      </c>
      <c r="B33" s="27" t="s">
        <v>95</v>
      </c>
      <c r="C33" s="27" t="s">
        <v>386</v>
      </c>
      <c r="D33" s="27">
        <v>7</v>
      </c>
      <c r="E33" s="27" t="s">
        <v>9</v>
      </c>
      <c r="F33" s="27" t="s">
        <v>9</v>
      </c>
      <c r="G33" s="27" t="s">
        <v>9</v>
      </c>
      <c r="H33" s="27" t="s">
        <v>9</v>
      </c>
      <c r="I33" s="27" t="s">
        <v>9</v>
      </c>
      <c r="J33" s="27">
        <v>1</v>
      </c>
      <c r="K33" s="24" t="str">
        <f t="shared" si="0"/>
        <v>6.focus_in.2c_compare..</v>
      </c>
      <c r="L33" s="27" t="s">
        <v>9</v>
      </c>
      <c r="M33" s="27">
        <v>6</v>
      </c>
      <c r="N33" s="24">
        <v>10</v>
      </c>
      <c r="O33" s="19"/>
    </row>
    <row r="34" spans="1:15" x14ac:dyDescent="0.25">
      <c r="A34" s="25" t="s">
        <v>157</v>
      </c>
      <c r="B34" s="27" t="s">
        <v>95</v>
      </c>
      <c r="C34" s="27" t="s">
        <v>387</v>
      </c>
      <c r="D34" s="27">
        <v>6</v>
      </c>
      <c r="E34" s="27" t="s">
        <v>9</v>
      </c>
      <c r="F34" s="27" t="s">
        <v>9</v>
      </c>
      <c r="G34" s="27" t="s">
        <v>9</v>
      </c>
      <c r="H34" s="27" t="s">
        <v>9</v>
      </c>
      <c r="I34" s="27" t="s">
        <v>9</v>
      </c>
      <c r="J34" s="27">
        <v>1</v>
      </c>
      <c r="K34" s="24" t="str">
        <f t="shared" si="0"/>
        <v>6.focus_in.2c_compare..</v>
      </c>
      <c r="L34" s="27" t="s">
        <v>9</v>
      </c>
      <c r="M34" s="27">
        <v>6</v>
      </c>
      <c r="N34" s="24">
        <v>10</v>
      </c>
      <c r="O34" s="19"/>
    </row>
    <row r="35" spans="1:15" x14ac:dyDescent="0.25">
      <c r="A35" s="25" t="s">
        <v>157</v>
      </c>
      <c r="B35" s="27" t="s">
        <v>95</v>
      </c>
      <c r="C35" s="27" t="s">
        <v>6</v>
      </c>
      <c r="D35" s="27">
        <v>4</v>
      </c>
      <c r="E35" s="27" t="s">
        <v>9</v>
      </c>
      <c r="F35" s="27" t="s">
        <v>96</v>
      </c>
      <c r="G35" s="27" t="s">
        <v>51</v>
      </c>
      <c r="H35" s="27" t="s">
        <v>159</v>
      </c>
      <c r="I35" s="27" t="s">
        <v>9</v>
      </c>
      <c r="J35" s="27">
        <v>1</v>
      </c>
      <c r="K35" s="24" t="str">
        <f t="shared" si="0"/>
        <v>6.focus_in.2c_compare.xyv_stacked_bar_2x</v>
      </c>
      <c r="L35" s="27" t="s">
        <v>9</v>
      </c>
      <c r="M35" s="27">
        <v>6</v>
      </c>
      <c r="N35" s="24">
        <v>10</v>
      </c>
      <c r="O35" s="19"/>
    </row>
    <row r="36" spans="1:15" x14ac:dyDescent="0.25">
      <c r="A36" s="25" t="s">
        <v>157</v>
      </c>
      <c r="B36" s="27" t="s">
        <v>95</v>
      </c>
      <c r="C36" s="27" t="s">
        <v>7</v>
      </c>
      <c r="D36" s="27">
        <v>3</v>
      </c>
      <c r="E36" s="27" t="s">
        <v>9</v>
      </c>
      <c r="F36" s="27" t="s">
        <v>96</v>
      </c>
      <c r="G36" s="27" t="s">
        <v>51</v>
      </c>
      <c r="H36" s="27" t="s">
        <v>158</v>
      </c>
      <c r="I36" s="27" t="s">
        <v>9</v>
      </c>
      <c r="J36" s="27">
        <v>1</v>
      </c>
      <c r="K36" s="24" t="str">
        <f t="shared" si="0"/>
        <v>6.focus_in.2c_compare.xyv_stacked_bar_2x</v>
      </c>
      <c r="L36" s="27" t="s">
        <v>9</v>
      </c>
      <c r="M36" s="27">
        <v>6</v>
      </c>
      <c r="N36" s="24">
        <v>10</v>
      </c>
      <c r="O36" s="19"/>
    </row>
    <row r="37" spans="1:15" x14ac:dyDescent="0.25">
      <c r="A37" s="25" t="s">
        <v>157</v>
      </c>
      <c r="B37" s="27" t="s">
        <v>95</v>
      </c>
      <c r="C37" s="27" t="s">
        <v>8</v>
      </c>
      <c r="D37" s="27">
        <v>2</v>
      </c>
      <c r="E37" s="27" t="s">
        <v>389</v>
      </c>
      <c r="F37" s="27" t="s">
        <v>9</v>
      </c>
      <c r="G37" s="27" t="s">
        <v>9</v>
      </c>
      <c r="H37" s="27" t="s">
        <v>9</v>
      </c>
      <c r="I37" s="27" t="s">
        <v>9</v>
      </c>
      <c r="J37" s="27">
        <v>1</v>
      </c>
      <c r="K37" s="24" t="str">
        <f t="shared" si="0"/>
        <v>6.focus_in.2c_compare..</v>
      </c>
      <c r="L37" s="27" t="s">
        <v>9</v>
      </c>
      <c r="M37" s="27">
        <v>6</v>
      </c>
      <c r="N37" s="24">
        <v>10</v>
      </c>
      <c r="O37" s="19"/>
    </row>
    <row r="38" spans="1:15" ht="14.25" x14ac:dyDescent="0.2">
      <c r="A38" s="26" t="s">
        <v>157</v>
      </c>
      <c r="B38" s="26" t="s">
        <v>160</v>
      </c>
      <c r="C38" s="26" t="s">
        <v>161</v>
      </c>
      <c r="D38" s="26">
        <v>15</v>
      </c>
      <c r="E38" s="26" t="s">
        <v>9</v>
      </c>
      <c r="F38" s="26" t="s">
        <v>162</v>
      </c>
      <c r="G38" s="26" t="s">
        <v>51</v>
      </c>
      <c r="H38" s="26" t="s">
        <v>167</v>
      </c>
      <c r="I38" s="26" t="s">
        <v>9</v>
      </c>
      <c r="J38" s="26">
        <v>1</v>
      </c>
      <c r="K38" s="23" t="str">
        <f t="shared" si="0"/>
        <v>7.focus_in.2c_1l_compare.xyv_stacked_bar_legend</v>
      </c>
      <c r="L38" s="26" t="s">
        <v>9</v>
      </c>
      <c r="M38" s="26">
        <v>7</v>
      </c>
      <c r="N38" s="23"/>
      <c r="O38" s="19"/>
    </row>
    <row r="39" spans="1:15" ht="14.25" x14ac:dyDescent="0.2">
      <c r="A39" s="26" t="s">
        <v>157</v>
      </c>
      <c r="B39" s="26" t="s">
        <v>160</v>
      </c>
      <c r="C39" s="26" t="s">
        <v>2</v>
      </c>
      <c r="D39" s="26">
        <v>13</v>
      </c>
      <c r="E39" s="26" t="s">
        <v>9</v>
      </c>
      <c r="F39" s="26" t="s">
        <v>9</v>
      </c>
      <c r="G39" s="26" t="s">
        <v>9</v>
      </c>
      <c r="H39" s="26" t="s">
        <v>9</v>
      </c>
      <c r="I39" s="26" t="s">
        <v>9</v>
      </c>
      <c r="J39" s="26">
        <v>1</v>
      </c>
      <c r="K39" s="23" t="str">
        <f t="shared" si="0"/>
        <v>7.focus_in.2c_1l_compare..</v>
      </c>
      <c r="L39" s="26" t="s">
        <v>9</v>
      </c>
      <c r="M39" s="26">
        <v>7</v>
      </c>
      <c r="N39" s="23"/>
      <c r="O39" s="19"/>
    </row>
    <row r="40" spans="1:15" ht="14.25" x14ac:dyDescent="0.2">
      <c r="A40" s="26" t="s">
        <v>157</v>
      </c>
      <c r="B40" s="26" t="s">
        <v>160</v>
      </c>
      <c r="C40" s="26" t="s">
        <v>3</v>
      </c>
      <c r="D40" s="26">
        <v>11</v>
      </c>
      <c r="E40" s="26" t="s">
        <v>153</v>
      </c>
      <c r="F40" s="26" t="s">
        <v>9</v>
      </c>
      <c r="G40" s="26" t="s">
        <v>9</v>
      </c>
      <c r="H40" s="26" t="s">
        <v>9</v>
      </c>
      <c r="I40" s="26" t="s">
        <v>9</v>
      </c>
      <c r="J40" s="26">
        <v>1</v>
      </c>
      <c r="K40" s="23" t="str">
        <f t="shared" si="0"/>
        <v>7.focus_in.2c_1l_compare..</v>
      </c>
      <c r="L40" s="26" t="s">
        <v>9</v>
      </c>
      <c r="M40" s="26">
        <v>7</v>
      </c>
      <c r="N40" s="23"/>
      <c r="O40" s="19"/>
    </row>
    <row r="41" spans="1:15" ht="14.25" x14ac:dyDescent="0.2">
      <c r="A41" s="26" t="s">
        <v>157</v>
      </c>
      <c r="B41" s="26" t="s">
        <v>160</v>
      </c>
      <c r="C41" s="26" t="s">
        <v>384</v>
      </c>
      <c r="D41" s="26">
        <v>10</v>
      </c>
      <c r="E41" s="26" t="s">
        <v>9</v>
      </c>
      <c r="F41" s="26" t="s">
        <v>9</v>
      </c>
      <c r="G41" s="26" t="s">
        <v>9</v>
      </c>
      <c r="H41" s="26" t="s">
        <v>9</v>
      </c>
      <c r="I41" s="26" t="s">
        <v>9</v>
      </c>
      <c r="J41" s="26">
        <v>1</v>
      </c>
      <c r="K41" s="23" t="str">
        <f t="shared" ref="K41:K53" si="1">M41&amp;"."&amp;A41&amp;"."&amp;B41&amp;"."&amp;F41</f>
        <v>7.focus_in.2c_1l_compare..</v>
      </c>
      <c r="L41" s="26" t="s">
        <v>9</v>
      </c>
      <c r="M41" s="26">
        <v>7</v>
      </c>
      <c r="N41" s="23"/>
      <c r="O41" s="19"/>
    </row>
    <row r="42" spans="1:15" ht="14.25" x14ac:dyDescent="0.2">
      <c r="A42" s="26" t="s">
        <v>157</v>
      </c>
      <c r="B42" s="26" t="s">
        <v>160</v>
      </c>
      <c r="C42" s="26" t="s">
        <v>385</v>
      </c>
      <c r="D42" s="26">
        <v>9</v>
      </c>
      <c r="E42" s="26" t="s">
        <v>9</v>
      </c>
      <c r="F42" s="26" t="s">
        <v>9</v>
      </c>
      <c r="G42" s="26" t="s">
        <v>9</v>
      </c>
      <c r="H42" s="26" t="s">
        <v>9</v>
      </c>
      <c r="I42" s="26" t="s">
        <v>9</v>
      </c>
      <c r="J42" s="26">
        <v>1</v>
      </c>
      <c r="K42" s="23" t="str">
        <f t="shared" si="1"/>
        <v>7.focus_in.2c_1l_compare..</v>
      </c>
      <c r="L42" s="26" t="s">
        <v>9</v>
      </c>
      <c r="M42" s="26">
        <v>7</v>
      </c>
      <c r="N42" s="23"/>
      <c r="O42" s="19"/>
    </row>
    <row r="43" spans="1:15" ht="14.25" x14ac:dyDescent="0.2">
      <c r="A43" s="26" t="s">
        <v>157</v>
      </c>
      <c r="B43" s="26" t="s">
        <v>160</v>
      </c>
      <c r="C43" s="26" t="s">
        <v>386</v>
      </c>
      <c r="D43" s="26">
        <v>7</v>
      </c>
      <c r="E43" s="26" t="s">
        <v>9</v>
      </c>
      <c r="F43" s="26" t="s">
        <v>9</v>
      </c>
      <c r="G43" s="26" t="s">
        <v>9</v>
      </c>
      <c r="H43" s="26" t="s">
        <v>9</v>
      </c>
      <c r="I43" s="26" t="s">
        <v>9</v>
      </c>
      <c r="J43" s="26">
        <v>1</v>
      </c>
      <c r="K43" s="23" t="str">
        <f t="shared" si="1"/>
        <v>7.focus_in.2c_1l_compare..</v>
      </c>
      <c r="L43" s="26" t="s">
        <v>9</v>
      </c>
      <c r="M43" s="26">
        <v>7</v>
      </c>
      <c r="N43" s="23"/>
      <c r="O43" s="19"/>
    </row>
    <row r="44" spans="1:15" ht="14.25" x14ac:dyDescent="0.2">
      <c r="A44" s="26" t="s">
        <v>157</v>
      </c>
      <c r="B44" s="26" t="s">
        <v>160</v>
      </c>
      <c r="C44" s="26" t="s">
        <v>387</v>
      </c>
      <c r="D44" s="26">
        <v>6</v>
      </c>
      <c r="E44" s="26" t="s">
        <v>9</v>
      </c>
      <c r="F44" s="26" t="s">
        <v>9</v>
      </c>
      <c r="G44" s="26" t="s">
        <v>9</v>
      </c>
      <c r="H44" s="26" t="s">
        <v>9</v>
      </c>
      <c r="I44" s="26" t="s">
        <v>9</v>
      </c>
      <c r="J44" s="26">
        <v>1</v>
      </c>
      <c r="K44" s="23" t="str">
        <f t="shared" si="1"/>
        <v>7.focus_in.2c_1l_compare..</v>
      </c>
      <c r="L44" s="26" t="s">
        <v>9</v>
      </c>
      <c r="M44" s="26">
        <v>7</v>
      </c>
      <c r="N44" s="23"/>
      <c r="O44" s="19"/>
    </row>
    <row r="45" spans="1:15" ht="14.25" x14ac:dyDescent="0.2">
      <c r="A45" s="26" t="s">
        <v>157</v>
      </c>
      <c r="B45" s="26" t="s">
        <v>160</v>
      </c>
      <c r="C45" s="26" t="s">
        <v>6</v>
      </c>
      <c r="D45" s="26">
        <v>4</v>
      </c>
      <c r="E45" s="26" t="s">
        <v>9</v>
      </c>
      <c r="F45" s="26" t="s">
        <v>96</v>
      </c>
      <c r="G45" s="26" t="s">
        <v>51</v>
      </c>
      <c r="H45" s="26" t="s">
        <v>165</v>
      </c>
      <c r="I45" s="26" t="s">
        <v>9</v>
      </c>
      <c r="J45" s="26">
        <v>1</v>
      </c>
      <c r="K45" s="23" t="str">
        <f t="shared" si="1"/>
        <v>7.focus_in.2c_1l_compare.xyv_stacked_bar_2x</v>
      </c>
      <c r="L45" s="26" t="s">
        <v>9</v>
      </c>
      <c r="M45" s="26">
        <v>7</v>
      </c>
      <c r="N45" s="23"/>
      <c r="O45" s="19"/>
    </row>
    <row r="46" spans="1:15" ht="14.25" x14ac:dyDescent="0.2">
      <c r="A46" s="26" t="s">
        <v>157</v>
      </c>
      <c r="B46" s="26" t="s">
        <v>160</v>
      </c>
      <c r="C46" s="26" t="s">
        <v>7</v>
      </c>
      <c r="D46" s="26">
        <v>3</v>
      </c>
      <c r="E46" s="26" t="s">
        <v>9</v>
      </c>
      <c r="F46" s="26" t="s">
        <v>96</v>
      </c>
      <c r="G46" s="26" t="s">
        <v>51</v>
      </c>
      <c r="H46" s="26" t="s">
        <v>166</v>
      </c>
      <c r="I46" s="26" t="s">
        <v>9</v>
      </c>
      <c r="J46" s="26">
        <v>1</v>
      </c>
      <c r="K46" s="23" t="str">
        <f t="shared" si="1"/>
        <v>7.focus_in.2c_1l_compare.xyv_stacked_bar_2x</v>
      </c>
      <c r="L46" s="26" t="s">
        <v>9</v>
      </c>
      <c r="M46" s="26">
        <v>7</v>
      </c>
      <c r="N46" s="23"/>
      <c r="O46" s="19"/>
    </row>
    <row r="47" spans="1:15" ht="14.25" x14ac:dyDescent="0.2">
      <c r="A47" s="26" t="s">
        <v>157</v>
      </c>
      <c r="B47" s="26" t="s">
        <v>160</v>
      </c>
      <c r="C47" s="26" t="s">
        <v>8</v>
      </c>
      <c r="D47" s="26">
        <v>2</v>
      </c>
      <c r="E47" s="26" t="s">
        <v>9</v>
      </c>
      <c r="F47" s="26" t="s">
        <v>9</v>
      </c>
      <c r="G47" s="26" t="s">
        <v>9</v>
      </c>
      <c r="H47" s="26" t="s">
        <v>9</v>
      </c>
      <c r="I47" s="26" t="s">
        <v>9</v>
      </c>
      <c r="J47" s="26">
        <v>1</v>
      </c>
      <c r="K47" s="23" t="str">
        <f t="shared" si="1"/>
        <v>7.focus_in.2c_1l_compare..</v>
      </c>
      <c r="L47" s="26" t="s">
        <v>9</v>
      </c>
      <c r="M47" s="26">
        <v>7</v>
      </c>
      <c r="N47" s="23"/>
      <c r="O47" s="19"/>
    </row>
    <row r="48" spans="1:15" ht="14.25" x14ac:dyDescent="0.2">
      <c r="A48" s="24" t="s">
        <v>157</v>
      </c>
      <c r="B48" s="24" t="s">
        <v>140</v>
      </c>
      <c r="C48" s="24" t="s">
        <v>130</v>
      </c>
      <c r="D48" s="24">
        <v>10</v>
      </c>
      <c r="E48" s="24" t="s">
        <v>9</v>
      </c>
      <c r="F48" s="24" t="s">
        <v>9</v>
      </c>
      <c r="G48" s="24" t="s">
        <v>9</v>
      </c>
      <c r="H48" s="25" t="s">
        <v>9</v>
      </c>
      <c r="I48" s="25" t="s">
        <v>234</v>
      </c>
      <c r="J48" s="24">
        <v>1</v>
      </c>
      <c r="K48" s="24" t="str">
        <f t="shared" si="1"/>
        <v>8.focus_in.sankey_6f..</v>
      </c>
      <c r="L48" s="24" t="s">
        <v>9</v>
      </c>
      <c r="M48" s="24">
        <v>8</v>
      </c>
      <c r="N48" s="24"/>
      <c r="O48" s="19"/>
    </row>
    <row r="49" spans="1:15" ht="14.25" x14ac:dyDescent="0.2">
      <c r="A49" s="24" t="s">
        <v>157</v>
      </c>
      <c r="B49" s="24" t="s">
        <v>140</v>
      </c>
      <c r="C49" s="24" t="s">
        <v>2</v>
      </c>
      <c r="D49" s="24">
        <v>9</v>
      </c>
      <c r="E49" s="24" t="s">
        <v>9</v>
      </c>
      <c r="F49" s="24" t="s">
        <v>9</v>
      </c>
      <c r="G49" s="24" t="s">
        <v>9</v>
      </c>
      <c r="H49" s="25" t="s">
        <v>9</v>
      </c>
      <c r="I49" s="24" t="s">
        <v>9</v>
      </c>
      <c r="J49" s="24">
        <v>1</v>
      </c>
      <c r="K49" s="24" t="str">
        <f t="shared" si="1"/>
        <v>8.focus_in.sankey_6f..</v>
      </c>
      <c r="L49" s="24" t="s">
        <v>9</v>
      </c>
      <c r="M49" s="24">
        <v>8</v>
      </c>
      <c r="N49" s="24"/>
      <c r="O49" s="19"/>
    </row>
    <row r="50" spans="1:15" ht="14.25" x14ac:dyDescent="0.2">
      <c r="A50" s="24" t="s">
        <v>157</v>
      </c>
      <c r="B50" s="24" t="s">
        <v>140</v>
      </c>
      <c r="C50" s="24" t="s">
        <v>3</v>
      </c>
      <c r="D50" s="24">
        <v>6</v>
      </c>
      <c r="E50" s="24" t="s">
        <v>235</v>
      </c>
      <c r="F50" s="24" t="s">
        <v>9</v>
      </c>
      <c r="G50" s="24" t="s">
        <v>9</v>
      </c>
      <c r="H50" s="25" t="s">
        <v>9</v>
      </c>
      <c r="I50" s="24" t="s">
        <v>9</v>
      </c>
      <c r="J50" s="24">
        <v>1</v>
      </c>
      <c r="K50" s="24" t="str">
        <f t="shared" si="1"/>
        <v>8.focus_in.sankey_6f..</v>
      </c>
      <c r="L50" s="24" t="s">
        <v>9</v>
      </c>
      <c r="M50" s="24">
        <v>8</v>
      </c>
      <c r="N50" s="24"/>
      <c r="O50" s="19"/>
    </row>
    <row r="51" spans="1:15" ht="14.25" x14ac:dyDescent="0.2">
      <c r="A51" s="24" t="s">
        <v>157</v>
      </c>
      <c r="B51" s="24" t="s">
        <v>140</v>
      </c>
      <c r="C51" s="24" t="s">
        <v>8</v>
      </c>
      <c r="D51" s="24">
        <v>5</v>
      </c>
      <c r="E51" s="24" t="s">
        <v>9</v>
      </c>
      <c r="F51" s="24" t="s">
        <v>9</v>
      </c>
      <c r="G51" s="24" t="s">
        <v>9</v>
      </c>
      <c r="H51" s="25" t="s">
        <v>9</v>
      </c>
      <c r="I51" s="24" t="s">
        <v>9</v>
      </c>
      <c r="J51" s="24">
        <v>1</v>
      </c>
      <c r="K51" s="24" t="str">
        <f t="shared" si="1"/>
        <v>8.focus_in.sankey_6f..</v>
      </c>
      <c r="L51" s="24" t="s">
        <v>9</v>
      </c>
      <c r="M51" s="24">
        <v>8</v>
      </c>
      <c r="N51" s="24"/>
      <c r="O51" s="19"/>
    </row>
    <row r="52" spans="1:15" ht="14.25" x14ac:dyDescent="0.2">
      <c r="A52" s="24" t="s">
        <v>157</v>
      </c>
      <c r="B52" s="24" t="s">
        <v>140</v>
      </c>
      <c r="C52" s="24" t="s">
        <v>4</v>
      </c>
      <c r="D52" s="24">
        <v>4</v>
      </c>
      <c r="E52" s="24" t="s">
        <v>9</v>
      </c>
      <c r="F52" s="24" t="s">
        <v>9</v>
      </c>
      <c r="G52" s="24" t="s">
        <v>9</v>
      </c>
      <c r="H52" s="25" t="s">
        <v>9</v>
      </c>
      <c r="I52" s="24" t="s">
        <v>9</v>
      </c>
      <c r="J52" s="24">
        <v>1</v>
      </c>
      <c r="K52" s="24" t="str">
        <f t="shared" si="1"/>
        <v>8.focus_in.sankey_6f..</v>
      </c>
      <c r="L52" s="24" t="s">
        <v>9</v>
      </c>
      <c r="M52" s="24">
        <v>8</v>
      </c>
      <c r="N52" s="24"/>
      <c r="O52" s="19"/>
    </row>
    <row r="53" spans="1:15" ht="14.25" x14ac:dyDescent="0.2">
      <c r="A53" s="24" t="s">
        <v>157</v>
      </c>
      <c r="B53" s="24" t="s">
        <v>140</v>
      </c>
      <c r="C53" s="24" t="s">
        <v>5</v>
      </c>
      <c r="D53" s="24">
        <v>3</v>
      </c>
      <c r="E53" s="24" t="s">
        <v>9</v>
      </c>
      <c r="F53" s="24" t="s">
        <v>9</v>
      </c>
      <c r="G53" s="24" t="s">
        <v>9</v>
      </c>
      <c r="H53" s="25" t="s">
        <v>9</v>
      </c>
      <c r="I53" s="24" t="s">
        <v>9</v>
      </c>
      <c r="J53" s="24">
        <v>1</v>
      </c>
      <c r="K53" s="24" t="str">
        <f t="shared" si="1"/>
        <v>8.focus_in.sankey_6f..</v>
      </c>
      <c r="L53" s="24" t="s">
        <v>9</v>
      </c>
      <c r="M53" s="24">
        <v>8</v>
      </c>
      <c r="N53" s="24"/>
      <c r="O53" s="19"/>
    </row>
    <row r="54" spans="1:15" x14ac:dyDescent="0.25">
      <c r="O54" s="19"/>
    </row>
    <row r="55" spans="1:15" x14ac:dyDescent="0.25">
      <c r="O55" s="19"/>
    </row>
    <row r="56" spans="1:15" x14ac:dyDescent="0.25">
      <c r="O56" s="19"/>
    </row>
    <row r="57" spans="1:15" x14ac:dyDescent="0.25">
      <c r="O57" s="19"/>
    </row>
    <row r="58" spans="1:15" x14ac:dyDescent="0.25">
      <c r="O58" s="19"/>
    </row>
    <row r="59" spans="1:15" x14ac:dyDescent="0.25">
      <c r="O59" s="19"/>
    </row>
    <row r="60" spans="1:15" x14ac:dyDescent="0.25">
      <c r="O60" s="19"/>
    </row>
    <row r="61" spans="1:15" x14ac:dyDescent="0.25">
      <c r="O61" s="19"/>
    </row>
    <row r="62" spans="1:15" x14ac:dyDescent="0.25">
      <c r="O62" s="19"/>
    </row>
    <row r="63" spans="1:15" x14ac:dyDescent="0.25">
      <c r="O63" s="19"/>
    </row>
    <row r="64" spans="1:15" x14ac:dyDescent="0.25">
      <c r="O64" s="19"/>
    </row>
    <row r="65" spans="15:15" x14ac:dyDescent="0.25">
      <c r="O65" s="19"/>
    </row>
    <row r="66" spans="15:15" x14ac:dyDescent="0.25">
      <c r="O66" s="19"/>
    </row>
    <row r="67" spans="15:15" x14ac:dyDescent="0.25">
      <c r="O67" s="19"/>
    </row>
    <row r="68" spans="15:15" x14ac:dyDescent="0.25">
      <c r="O68" s="19"/>
    </row>
    <row r="75" spans="15:15" x14ac:dyDescent="0.25">
      <c r="O75" s="19"/>
    </row>
    <row r="76" spans="15:15" x14ac:dyDescent="0.25">
      <c r="O76" s="19"/>
    </row>
    <row r="77" spans="15:15" x14ac:dyDescent="0.25">
      <c r="O77" s="19"/>
    </row>
    <row r="78" spans="15:15" x14ac:dyDescent="0.25">
      <c r="O78" s="19"/>
    </row>
    <row r="79" spans="15:15" x14ac:dyDescent="0.25">
      <c r="O79" s="19"/>
    </row>
    <row r="80" spans="15:15" x14ac:dyDescent="0.25">
      <c r="O80" s="1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27BD3-A4C4-44D1-A0BA-D78D595E1610}">
  <sheetPr codeName="Sheet4"/>
  <dimension ref="A1:C4"/>
  <sheetViews>
    <sheetView workbookViewId="0"/>
  </sheetViews>
  <sheetFormatPr defaultRowHeight="15" x14ac:dyDescent="0.25"/>
  <sheetData>
    <row r="1" spans="1:3" x14ac:dyDescent="0.25">
      <c r="A1" s="10" t="s">
        <v>123</v>
      </c>
      <c r="B1" t="s">
        <v>53</v>
      </c>
      <c r="C1" t="s">
        <v>122</v>
      </c>
    </row>
    <row r="2" spans="1:3" x14ac:dyDescent="0.25">
      <c r="A2" s="10" t="s">
        <v>47</v>
      </c>
      <c r="B2">
        <v>8</v>
      </c>
      <c r="C2">
        <v>5648</v>
      </c>
    </row>
    <row r="3" spans="1:3" x14ac:dyDescent="0.25">
      <c r="A3" s="10" t="s">
        <v>46</v>
      </c>
      <c r="B3">
        <v>6</v>
      </c>
      <c r="C3">
        <v>6812</v>
      </c>
    </row>
    <row r="4" spans="1:3" x14ac:dyDescent="0.25">
      <c r="A4" s="10" t="s">
        <v>45</v>
      </c>
      <c r="B4">
        <v>5</v>
      </c>
      <c r="C4">
        <v>7822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C0A37-9E96-4FEC-9C5B-87179896F591}">
  <sheetPr codeName="Sheet16"/>
  <dimension ref="A1:G5"/>
  <sheetViews>
    <sheetView workbookViewId="0">
      <selection sqref="A1:G5"/>
    </sheetView>
  </sheetViews>
  <sheetFormatPr defaultRowHeight="15" x14ac:dyDescent="0.25"/>
  <cols>
    <col min="1" max="1" width="6.85546875" bestFit="1" customWidth="1"/>
    <col min="2" max="2" width="8.7109375" bestFit="1" customWidth="1"/>
    <col min="3" max="3" width="8.140625" bestFit="1" customWidth="1"/>
    <col min="4" max="5" width="12" bestFit="1" customWidth="1"/>
  </cols>
  <sheetData>
    <row r="1" spans="1:7" x14ac:dyDescent="0.25">
      <c r="A1" t="s">
        <v>55</v>
      </c>
      <c r="B1" t="s">
        <v>28</v>
      </c>
      <c r="C1" t="s">
        <v>124</v>
      </c>
      <c r="D1" t="s">
        <v>56</v>
      </c>
      <c r="E1" t="s">
        <v>25</v>
      </c>
      <c r="F1" t="s">
        <v>26</v>
      </c>
      <c r="G1" t="s">
        <v>54</v>
      </c>
    </row>
    <row r="2" spans="1:7" x14ac:dyDescent="0.25">
      <c r="A2" t="s">
        <v>47</v>
      </c>
      <c r="B2" t="s">
        <v>53</v>
      </c>
      <c r="C2">
        <v>5648</v>
      </c>
      <c r="D2">
        <v>8</v>
      </c>
      <c r="E2" t="s">
        <v>29</v>
      </c>
      <c r="F2" t="s">
        <v>59</v>
      </c>
      <c r="G2">
        <v>-5636</v>
      </c>
    </row>
    <row r="3" spans="1:7" x14ac:dyDescent="0.25">
      <c r="A3" t="s">
        <v>46</v>
      </c>
      <c r="B3" t="s">
        <v>53</v>
      </c>
      <c r="C3">
        <v>6812</v>
      </c>
      <c r="D3">
        <v>6</v>
      </c>
      <c r="E3" t="s">
        <v>30</v>
      </c>
      <c r="F3" t="s">
        <v>58</v>
      </c>
      <c r="G3">
        <v>-6800</v>
      </c>
    </row>
    <row r="4" spans="1:7" x14ac:dyDescent="0.25">
      <c r="A4" t="s">
        <v>45</v>
      </c>
      <c r="B4" t="s">
        <v>53</v>
      </c>
      <c r="C4">
        <v>7822</v>
      </c>
      <c r="D4">
        <v>5</v>
      </c>
      <c r="E4" t="s">
        <v>31</v>
      </c>
      <c r="F4" t="s">
        <v>57</v>
      </c>
      <c r="G4">
        <v>-7810</v>
      </c>
    </row>
    <row r="5" spans="1:7" x14ac:dyDescent="0.25">
      <c r="A5" t="s">
        <v>125</v>
      </c>
      <c r="B5" t="s">
        <v>53</v>
      </c>
      <c r="C5">
        <v>555</v>
      </c>
      <c r="D5">
        <v>8</v>
      </c>
      <c r="E5" t="s">
        <v>31</v>
      </c>
      <c r="F5" t="s">
        <v>57</v>
      </c>
      <c r="G5">
        <v>-543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4EBC0-2207-4ACD-B925-E266D5BC519A}">
  <sheetPr codeName="Sheet2"/>
  <dimension ref="A1:E40"/>
  <sheetViews>
    <sheetView workbookViewId="0">
      <pane ySplit="1" topLeftCell="A2" activePane="bottomLeft" state="frozen"/>
      <selection pane="bottomLeft"/>
    </sheetView>
  </sheetViews>
  <sheetFormatPr defaultRowHeight="15" x14ac:dyDescent="0.25"/>
  <sheetData>
    <row r="1" spans="1:5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</row>
    <row r="2" spans="1:5" x14ac:dyDescent="0.25">
      <c r="A2" t="s">
        <v>62</v>
      </c>
      <c r="B2" t="s">
        <v>45</v>
      </c>
      <c r="C2">
        <v>1</v>
      </c>
      <c r="D2" t="s">
        <v>31</v>
      </c>
      <c r="E2" t="s">
        <v>57</v>
      </c>
    </row>
    <row r="3" spans="1:5" x14ac:dyDescent="0.25">
      <c r="A3" t="s">
        <v>63</v>
      </c>
      <c r="B3" t="s">
        <v>45</v>
      </c>
      <c r="C3">
        <v>0.84</v>
      </c>
      <c r="D3" t="s">
        <v>31</v>
      </c>
      <c r="E3" t="s">
        <v>57</v>
      </c>
    </row>
    <row r="4" spans="1:5" x14ac:dyDescent="0.25">
      <c r="A4" t="s">
        <v>64</v>
      </c>
      <c r="B4" t="s">
        <v>45</v>
      </c>
      <c r="C4">
        <v>0.63</v>
      </c>
      <c r="D4" t="s">
        <v>31</v>
      </c>
      <c r="E4" t="s">
        <v>57</v>
      </c>
    </row>
    <row r="5" spans="1:5" x14ac:dyDescent="0.25">
      <c r="A5" t="s">
        <v>65</v>
      </c>
      <c r="B5" t="s">
        <v>45</v>
      </c>
      <c r="C5">
        <v>0.54</v>
      </c>
      <c r="D5" t="s">
        <v>31</v>
      </c>
      <c r="E5" t="s">
        <v>57</v>
      </c>
    </row>
    <row r="6" spans="1:5" x14ac:dyDescent="0.25">
      <c r="A6" t="s">
        <v>66</v>
      </c>
      <c r="B6" t="s">
        <v>45</v>
      </c>
      <c r="C6">
        <v>0.48</v>
      </c>
      <c r="D6" t="s">
        <v>31</v>
      </c>
      <c r="E6" t="s">
        <v>57</v>
      </c>
    </row>
    <row r="7" spans="1:5" x14ac:dyDescent="0.25">
      <c r="A7" t="s">
        <v>67</v>
      </c>
      <c r="B7" t="s">
        <v>45</v>
      </c>
      <c r="C7">
        <v>0.45</v>
      </c>
      <c r="D7" t="s">
        <v>31</v>
      </c>
      <c r="E7" t="s">
        <v>57</v>
      </c>
    </row>
    <row r="8" spans="1:5" x14ac:dyDescent="0.25">
      <c r="A8" t="s">
        <v>68</v>
      </c>
      <c r="B8" t="s">
        <v>45</v>
      </c>
      <c r="C8">
        <v>0.36</v>
      </c>
      <c r="D8" t="s">
        <v>31</v>
      </c>
      <c r="E8" t="s">
        <v>57</v>
      </c>
    </row>
    <row r="9" spans="1:5" x14ac:dyDescent="0.25">
      <c r="A9" t="s">
        <v>69</v>
      </c>
      <c r="B9" t="s">
        <v>45</v>
      </c>
      <c r="C9">
        <v>0.33</v>
      </c>
      <c r="D9" t="s">
        <v>31</v>
      </c>
      <c r="E9" t="s">
        <v>57</v>
      </c>
    </row>
    <row r="10" spans="1:5" x14ac:dyDescent="0.25">
      <c r="A10" t="s">
        <v>70</v>
      </c>
      <c r="B10" t="s">
        <v>45</v>
      </c>
      <c r="C10">
        <v>0.26</v>
      </c>
      <c r="D10" t="s">
        <v>31</v>
      </c>
      <c r="E10" t="s">
        <v>57</v>
      </c>
    </row>
    <row r="11" spans="1:5" x14ac:dyDescent="0.25">
      <c r="A11" t="s">
        <v>71</v>
      </c>
      <c r="B11" t="s">
        <v>45</v>
      </c>
      <c r="C11">
        <v>0.2</v>
      </c>
      <c r="D11" t="s">
        <v>31</v>
      </c>
      <c r="E11" t="s">
        <v>57</v>
      </c>
    </row>
    <row r="12" spans="1:5" x14ac:dyDescent="0.25">
      <c r="A12" t="s">
        <v>72</v>
      </c>
      <c r="B12" t="s">
        <v>45</v>
      </c>
      <c r="C12">
        <v>0.18</v>
      </c>
      <c r="D12" t="s">
        <v>31</v>
      </c>
      <c r="E12" t="s">
        <v>57</v>
      </c>
    </row>
    <row r="13" spans="1:5" x14ac:dyDescent="0.25">
      <c r="A13" t="s">
        <v>73</v>
      </c>
      <c r="B13" t="s">
        <v>45</v>
      </c>
      <c r="C13">
        <v>0.17</v>
      </c>
      <c r="D13" t="s">
        <v>31</v>
      </c>
      <c r="E13" t="s">
        <v>57</v>
      </c>
    </row>
    <row r="14" spans="1:5" x14ac:dyDescent="0.25">
      <c r="A14" t="s">
        <v>74</v>
      </c>
      <c r="B14" t="s">
        <v>45</v>
      </c>
      <c r="C14">
        <v>0.15</v>
      </c>
      <c r="D14" t="s">
        <v>31</v>
      </c>
      <c r="E14" t="s">
        <v>57</v>
      </c>
    </row>
    <row r="15" spans="1:5" x14ac:dyDescent="0.25">
      <c r="A15" t="s">
        <v>62</v>
      </c>
      <c r="B15" t="s">
        <v>46</v>
      </c>
      <c r="C15">
        <v>1</v>
      </c>
      <c r="D15" t="s">
        <v>30</v>
      </c>
      <c r="E15" t="s">
        <v>58</v>
      </c>
    </row>
    <row r="16" spans="1:5" x14ac:dyDescent="0.25">
      <c r="A16" t="s">
        <v>63</v>
      </c>
      <c r="B16" t="s">
        <v>46</v>
      </c>
      <c r="C16">
        <v>0.76</v>
      </c>
      <c r="D16" t="s">
        <v>30</v>
      </c>
      <c r="E16" t="s">
        <v>58</v>
      </c>
    </row>
    <row r="17" spans="1:5" x14ac:dyDescent="0.25">
      <c r="A17" t="s">
        <v>64</v>
      </c>
      <c r="B17" t="s">
        <v>46</v>
      </c>
      <c r="C17">
        <v>0.61</v>
      </c>
      <c r="D17" t="s">
        <v>30</v>
      </c>
      <c r="E17" t="s">
        <v>58</v>
      </c>
    </row>
    <row r="18" spans="1:5" x14ac:dyDescent="0.25">
      <c r="A18" t="s">
        <v>65</v>
      </c>
      <c r="B18" t="s">
        <v>46</v>
      </c>
      <c r="C18">
        <v>0.51</v>
      </c>
      <c r="D18" t="s">
        <v>30</v>
      </c>
      <c r="E18" t="s">
        <v>58</v>
      </c>
    </row>
    <row r="19" spans="1:5" x14ac:dyDescent="0.25">
      <c r="A19" t="s">
        <v>66</v>
      </c>
      <c r="B19" t="s">
        <v>46</v>
      </c>
      <c r="C19">
        <v>0.47</v>
      </c>
      <c r="D19" t="s">
        <v>30</v>
      </c>
      <c r="E19" t="s">
        <v>58</v>
      </c>
    </row>
    <row r="20" spans="1:5" x14ac:dyDescent="0.25">
      <c r="A20" t="s">
        <v>67</v>
      </c>
      <c r="B20" t="s">
        <v>46</v>
      </c>
      <c r="C20">
        <v>0.36</v>
      </c>
      <c r="D20" t="s">
        <v>30</v>
      </c>
      <c r="E20" t="s">
        <v>58</v>
      </c>
    </row>
    <row r="21" spans="1:5" x14ac:dyDescent="0.25">
      <c r="A21" t="s">
        <v>68</v>
      </c>
      <c r="B21" t="s">
        <v>46</v>
      </c>
      <c r="C21">
        <v>0.28999999999999998</v>
      </c>
      <c r="D21" t="s">
        <v>30</v>
      </c>
      <c r="E21" t="s">
        <v>58</v>
      </c>
    </row>
    <row r="22" spans="1:5" x14ac:dyDescent="0.25">
      <c r="A22" t="s">
        <v>69</v>
      </c>
      <c r="B22" t="s">
        <v>46</v>
      </c>
      <c r="C22">
        <v>0.24</v>
      </c>
      <c r="D22" t="s">
        <v>30</v>
      </c>
      <c r="E22" t="s">
        <v>58</v>
      </c>
    </row>
    <row r="23" spans="1:5" x14ac:dyDescent="0.25">
      <c r="A23" t="s">
        <v>70</v>
      </c>
      <c r="B23" t="s">
        <v>46</v>
      </c>
      <c r="C23">
        <v>0.21</v>
      </c>
      <c r="D23" t="s">
        <v>30</v>
      </c>
      <c r="E23" t="s">
        <v>58</v>
      </c>
    </row>
    <row r="24" spans="1:5" x14ac:dyDescent="0.25">
      <c r="A24" t="s">
        <v>71</v>
      </c>
      <c r="B24" t="s">
        <v>46</v>
      </c>
      <c r="C24">
        <v>0.16</v>
      </c>
      <c r="D24" t="s">
        <v>30</v>
      </c>
      <c r="E24" t="s">
        <v>58</v>
      </c>
    </row>
    <row r="25" spans="1:5" x14ac:dyDescent="0.25">
      <c r="A25" t="s">
        <v>72</v>
      </c>
      <c r="B25" t="s">
        <v>46</v>
      </c>
      <c r="C25">
        <v>0.14000000000000001</v>
      </c>
      <c r="D25" t="s">
        <v>30</v>
      </c>
      <c r="E25" t="s">
        <v>58</v>
      </c>
    </row>
    <row r="26" spans="1:5" x14ac:dyDescent="0.25">
      <c r="A26" t="s">
        <v>73</v>
      </c>
      <c r="B26" t="s">
        <v>46</v>
      </c>
      <c r="C26">
        <v>0.13</v>
      </c>
      <c r="D26" t="s">
        <v>30</v>
      </c>
      <c r="E26" t="s">
        <v>58</v>
      </c>
    </row>
    <row r="27" spans="1:5" x14ac:dyDescent="0.25">
      <c r="A27" t="s">
        <v>74</v>
      </c>
      <c r="B27" t="s">
        <v>46</v>
      </c>
      <c r="C27">
        <v>0.11</v>
      </c>
      <c r="D27" t="s">
        <v>30</v>
      </c>
      <c r="E27" t="s">
        <v>58</v>
      </c>
    </row>
    <row r="28" spans="1:5" x14ac:dyDescent="0.25">
      <c r="A28" t="s">
        <v>62</v>
      </c>
      <c r="B28" t="s">
        <v>47</v>
      </c>
      <c r="C28">
        <v>1</v>
      </c>
      <c r="D28" t="s">
        <v>29</v>
      </c>
      <c r="E28" t="s">
        <v>59</v>
      </c>
    </row>
    <row r="29" spans="1:5" x14ac:dyDescent="0.25">
      <c r="A29" t="s">
        <v>63</v>
      </c>
      <c r="B29" t="s">
        <v>47</v>
      </c>
      <c r="C29">
        <v>0.82</v>
      </c>
      <c r="D29" t="s">
        <v>29</v>
      </c>
      <c r="E29" t="s">
        <v>59</v>
      </c>
    </row>
    <row r="30" spans="1:5" x14ac:dyDescent="0.25">
      <c r="A30" t="s">
        <v>64</v>
      </c>
      <c r="B30" t="s">
        <v>47</v>
      </c>
      <c r="C30">
        <v>0.65</v>
      </c>
      <c r="D30" t="s">
        <v>29</v>
      </c>
      <c r="E30" t="s">
        <v>59</v>
      </c>
    </row>
    <row r="31" spans="1:5" x14ac:dyDescent="0.25">
      <c r="A31" t="s">
        <v>65</v>
      </c>
      <c r="B31" t="s">
        <v>47</v>
      </c>
      <c r="C31">
        <v>0.54</v>
      </c>
      <c r="D31" t="s">
        <v>29</v>
      </c>
      <c r="E31" t="s">
        <v>59</v>
      </c>
    </row>
    <row r="32" spans="1:5" x14ac:dyDescent="0.25">
      <c r="A32" t="s">
        <v>66</v>
      </c>
      <c r="B32" t="s">
        <v>47</v>
      </c>
      <c r="C32">
        <v>0.5</v>
      </c>
      <c r="D32" t="s">
        <v>29</v>
      </c>
      <c r="E32" t="s">
        <v>59</v>
      </c>
    </row>
    <row r="33" spans="1:5" x14ac:dyDescent="0.25">
      <c r="A33" t="s">
        <v>67</v>
      </c>
      <c r="B33" t="s">
        <v>47</v>
      </c>
      <c r="C33">
        <v>0.38</v>
      </c>
      <c r="D33" t="s">
        <v>29</v>
      </c>
      <c r="E33" t="s">
        <v>59</v>
      </c>
    </row>
    <row r="34" spans="1:5" x14ac:dyDescent="0.25">
      <c r="A34" t="s">
        <v>68</v>
      </c>
      <c r="B34" t="s">
        <v>47</v>
      </c>
      <c r="C34">
        <v>0.3</v>
      </c>
      <c r="D34" t="s">
        <v>29</v>
      </c>
      <c r="E34" t="s">
        <v>59</v>
      </c>
    </row>
    <row r="35" spans="1:5" x14ac:dyDescent="0.25">
      <c r="A35" t="s">
        <v>69</v>
      </c>
      <c r="B35" t="s">
        <v>47</v>
      </c>
      <c r="C35">
        <v>0.23</v>
      </c>
      <c r="D35" t="s">
        <v>29</v>
      </c>
      <c r="E35" t="s">
        <v>59</v>
      </c>
    </row>
    <row r="36" spans="1:5" x14ac:dyDescent="0.25">
      <c r="A36" t="s">
        <v>70</v>
      </c>
      <c r="B36" t="s">
        <v>47</v>
      </c>
      <c r="C36">
        <v>0.21</v>
      </c>
      <c r="D36" t="s">
        <v>29</v>
      </c>
      <c r="E36" t="s">
        <v>59</v>
      </c>
    </row>
    <row r="37" spans="1:5" x14ac:dyDescent="0.25">
      <c r="A37" t="s">
        <v>71</v>
      </c>
      <c r="B37" t="s">
        <v>47</v>
      </c>
      <c r="C37">
        <v>0.18</v>
      </c>
      <c r="D37" t="s">
        <v>29</v>
      </c>
      <c r="E37" t="s">
        <v>59</v>
      </c>
    </row>
    <row r="38" spans="1:5" x14ac:dyDescent="0.25">
      <c r="A38" t="s">
        <v>72</v>
      </c>
      <c r="B38" t="s">
        <v>47</v>
      </c>
      <c r="C38">
        <v>0.16</v>
      </c>
      <c r="D38" t="s">
        <v>29</v>
      </c>
      <c r="E38" t="s">
        <v>59</v>
      </c>
    </row>
    <row r="39" spans="1:5" x14ac:dyDescent="0.25">
      <c r="A39" t="s">
        <v>73</v>
      </c>
      <c r="B39" t="s">
        <v>47</v>
      </c>
      <c r="C39">
        <v>0.13</v>
      </c>
      <c r="D39" t="s">
        <v>29</v>
      </c>
      <c r="E39" t="s">
        <v>59</v>
      </c>
    </row>
    <row r="40" spans="1:5" x14ac:dyDescent="0.25">
      <c r="A40" t="s">
        <v>74</v>
      </c>
      <c r="B40" t="s">
        <v>47</v>
      </c>
      <c r="C40">
        <v>0.12</v>
      </c>
      <c r="D40" t="s">
        <v>29</v>
      </c>
      <c r="E40" t="s">
        <v>59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FFA68-95F6-436A-B09F-DE3D9BA33B4D}">
  <sheetPr codeName="Sheet21"/>
  <dimension ref="A1:E145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5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</row>
    <row r="2" spans="1:5" x14ac:dyDescent="0.25">
      <c r="A2" t="s">
        <v>237</v>
      </c>
      <c r="B2" t="s">
        <v>56</v>
      </c>
      <c r="C2">
        <v>112</v>
      </c>
      <c r="D2" t="s">
        <v>238</v>
      </c>
      <c r="E2" t="s">
        <v>239</v>
      </c>
    </row>
    <row r="3" spans="1:5" x14ac:dyDescent="0.25">
      <c r="A3" t="s">
        <v>240</v>
      </c>
      <c r="B3" t="s">
        <v>56</v>
      </c>
      <c r="C3">
        <v>118</v>
      </c>
      <c r="D3" t="s">
        <v>238</v>
      </c>
      <c r="E3" t="s">
        <v>239</v>
      </c>
    </row>
    <row r="4" spans="1:5" x14ac:dyDescent="0.25">
      <c r="A4" t="s">
        <v>241</v>
      </c>
      <c r="B4" t="s">
        <v>56</v>
      </c>
      <c r="C4">
        <v>132</v>
      </c>
      <c r="D4" t="s">
        <v>238</v>
      </c>
      <c r="E4" t="s">
        <v>239</v>
      </c>
    </row>
    <row r="5" spans="1:5" x14ac:dyDescent="0.25">
      <c r="A5" t="s">
        <v>242</v>
      </c>
      <c r="B5" t="s">
        <v>56</v>
      </c>
      <c r="C5">
        <v>129</v>
      </c>
      <c r="D5" t="s">
        <v>238</v>
      </c>
      <c r="E5" t="s">
        <v>239</v>
      </c>
    </row>
    <row r="6" spans="1:5" x14ac:dyDescent="0.25">
      <c r="A6" t="s">
        <v>243</v>
      </c>
      <c r="B6" t="s">
        <v>56</v>
      </c>
      <c r="C6">
        <v>121</v>
      </c>
      <c r="D6" t="s">
        <v>238</v>
      </c>
      <c r="E6" t="s">
        <v>239</v>
      </c>
    </row>
    <row r="7" spans="1:5" x14ac:dyDescent="0.25">
      <c r="A7" t="s">
        <v>244</v>
      </c>
      <c r="B7" t="s">
        <v>56</v>
      </c>
      <c r="C7">
        <v>135</v>
      </c>
      <c r="D7" t="s">
        <v>238</v>
      </c>
      <c r="E7" t="s">
        <v>239</v>
      </c>
    </row>
    <row r="8" spans="1:5" x14ac:dyDescent="0.25">
      <c r="A8" t="s">
        <v>245</v>
      </c>
      <c r="B8" t="s">
        <v>56</v>
      </c>
      <c r="C8">
        <v>148</v>
      </c>
      <c r="D8" t="s">
        <v>238</v>
      </c>
      <c r="E8" t="s">
        <v>239</v>
      </c>
    </row>
    <row r="9" spans="1:5" x14ac:dyDescent="0.25">
      <c r="A9" t="s">
        <v>246</v>
      </c>
      <c r="B9" t="s">
        <v>56</v>
      </c>
      <c r="C9">
        <v>148</v>
      </c>
      <c r="D9" t="s">
        <v>238</v>
      </c>
      <c r="E9" t="s">
        <v>239</v>
      </c>
    </row>
    <row r="10" spans="1:5" x14ac:dyDescent="0.25">
      <c r="A10" t="s">
        <v>247</v>
      </c>
      <c r="B10" t="s">
        <v>56</v>
      </c>
      <c r="C10">
        <v>136</v>
      </c>
      <c r="D10" t="s">
        <v>238</v>
      </c>
      <c r="E10" t="s">
        <v>239</v>
      </c>
    </row>
    <row r="11" spans="1:5" x14ac:dyDescent="0.25">
      <c r="A11" t="s">
        <v>248</v>
      </c>
      <c r="B11" t="s">
        <v>56</v>
      </c>
      <c r="C11">
        <v>119</v>
      </c>
      <c r="D11" t="s">
        <v>238</v>
      </c>
      <c r="E11" t="s">
        <v>239</v>
      </c>
    </row>
    <row r="12" spans="1:5" x14ac:dyDescent="0.25">
      <c r="A12" t="s">
        <v>249</v>
      </c>
      <c r="B12" t="s">
        <v>56</v>
      </c>
      <c r="C12">
        <v>104</v>
      </c>
      <c r="D12" t="s">
        <v>238</v>
      </c>
      <c r="E12" t="s">
        <v>239</v>
      </c>
    </row>
    <row r="13" spans="1:5" x14ac:dyDescent="0.25">
      <c r="A13" t="s">
        <v>250</v>
      </c>
      <c r="B13" t="s">
        <v>56</v>
      </c>
      <c r="C13">
        <v>118</v>
      </c>
      <c r="D13" t="s">
        <v>238</v>
      </c>
      <c r="E13" t="s">
        <v>239</v>
      </c>
    </row>
    <row r="14" spans="1:5" x14ac:dyDescent="0.25">
      <c r="A14" t="s">
        <v>251</v>
      </c>
      <c r="B14" t="s">
        <v>56</v>
      </c>
      <c r="C14">
        <v>115</v>
      </c>
      <c r="D14" t="s">
        <v>238</v>
      </c>
      <c r="E14" t="s">
        <v>239</v>
      </c>
    </row>
    <row r="15" spans="1:5" x14ac:dyDescent="0.25">
      <c r="A15" t="s">
        <v>252</v>
      </c>
      <c r="B15" t="s">
        <v>56</v>
      </c>
      <c r="C15">
        <v>126</v>
      </c>
      <c r="D15" t="s">
        <v>238</v>
      </c>
      <c r="E15" t="s">
        <v>239</v>
      </c>
    </row>
    <row r="16" spans="1:5" x14ac:dyDescent="0.25">
      <c r="A16" t="s">
        <v>253</v>
      </c>
      <c r="B16" t="s">
        <v>56</v>
      </c>
      <c r="C16">
        <v>141</v>
      </c>
      <c r="D16" t="s">
        <v>238</v>
      </c>
      <c r="E16" t="s">
        <v>239</v>
      </c>
    </row>
    <row r="17" spans="1:5" x14ac:dyDescent="0.25">
      <c r="A17" t="s">
        <v>254</v>
      </c>
      <c r="B17" t="s">
        <v>56</v>
      </c>
      <c r="C17">
        <v>135</v>
      </c>
      <c r="D17" t="s">
        <v>238</v>
      </c>
      <c r="E17" t="s">
        <v>239</v>
      </c>
    </row>
    <row r="18" spans="1:5" x14ac:dyDescent="0.25">
      <c r="A18" t="s">
        <v>255</v>
      </c>
      <c r="B18" t="s">
        <v>56</v>
      </c>
      <c r="C18">
        <v>125</v>
      </c>
      <c r="D18" t="s">
        <v>238</v>
      </c>
      <c r="E18" t="s">
        <v>239</v>
      </c>
    </row>
    <row r="19" spans="1:5" x14ac:dyDescent="0.25">
      <c r="A19" t="s">
        <v>256</v>
      </c>
      <c r="B19" t="s">
        <v>56</v>
      </c>
      <c r="C19">
        <v>149</v>
      </c>
      <c r="D19" t="s">
        <v>238</v>
      </c>
      <c r="E19" t="s">
        <v>239</v>
      </c>
    </row>
    <row r="20" spans="1:5" x14ac:dyDescent="0.25">
      <c r="A20" t="s">
        <v>257</v>
      </c>
      <c r="B20" t="s">
        <v>56</v>
      </c>
      <c r="C20">
        <v>170</v>
      </c>
      <c r="D20" t="s">
        <v>238</v>
      </c>
      <c r="E20" t="s">
        <v>239</v>
      </c>
    </row>
    <row r="21" spans="1:5" x14ac:dyDescent="0.25">
      <c r="A21" t="s">
        <v>258</v>
      </c>
      <c r="B21" t="s">
        <v>56</v>
      </c>
      <c r="C21">
        <v>170</v>
      </c>
      <c r="D21" t="s">
        <v>238</v>
      </c>
      <c r="E21" t="s">
        <v>239</v>
      </c>
    </row>
    <row r="22" spans="1:5" x14ac:dyDescent="0.25">
      <c r="A22" t="s">
        <v>259</v>
      </c>
      <c r="B22" t="s">
        <v>56</v>
      </c>
      <c r="C22">
        <v>158</v>
      </c>
      <c r="D22" t="s">
        <v>238</v>
      </c>
      <c r="E22" t="s">
        <v>239</v>
      </c>
    </row>
    <row r="23" spans="1:5" x14ac:dyDescent="0.25">
      <c r="A23" t="s">
        <v>260</v>
      </c>
      <c r="B23" t="s">
        <v>56</v>
      </c>
      <c r="C23">
        <v>133</v>
      </c>
      <c r="D23" t="s">
        <v>238</v>
      </c>
      <c r="E23" t="s">
        <v>239</v>
      </c>
    </row>
    <row r="24" spans="1:5" x14ac:dyDescent="0.25">
      <c r="A24" t="s">
        <v>261</v>
      </c>
      <c r="B24" t="s">
        <v>56</v>
      </c>
      <c r="C24">
        <v>114</v>
      </c>
      <c r="D24" t="s">
        <v>238</v>
      </c>
      <c r="E24" t="s">
        <v>239</v>
      </c>
    </row>
    <row r="25" spans="1:5" x14ac:dyDescent="0.25">
      <c r="A25" t="s">
        <v>262</v>
      </c>
      <c r="B25" t="s">
        <v>56</v>
      </c>
      <c r="C25">
        <v>140</v>
      </c>
      <c r="D25" t="s">
        <v>238</v>
      </c>
      <c r="E25" t="s">
        <v>239</v>
      </c>
    </row>
    <row r="26" spans="1:5" x14ac:dyDescent="0.25">
      <c r="A26" t="s">
        <v>263</v>
      </c>
      <c r="B26" t="s">
        <v>56</v>
      </c>
      <c r="C26">
        <v>145</v>
      </c>
      <c r="D26" t="s">
        <v>238</v>
      </c>
      <c r="E26" t="s">
        <v>239</v>
      </c>
    </row>
    <row r="27" spans="1:5" x14ac:dyDescent="0.25">
      <c r="A27" t="s">
        <v>264</v>
      </c>
      <c r="B27" t="s">
        <v>56</v>
      </c>
      <c r="C27">
        <v>150</v>
      </c>
      <c r="D27" t="s">
        <v>238</v>
      </c>
      <c r="E27" t="s">
        <v>239</v>
      </c>
    </row>
    <row r="28" spans="1:5" x14ac:dyDescent="0.25">
      <c r="A28" t="s">
        <v>265</v>
      </c>
      <c r="B28" t="s">
        <v>56</v>
      </c>
      <c r="C28">
        <v>178</v>
      </c>
      <c r="D28" t="s">
        <v>238</v>
      </c>
      <c r="E28" t="s">
        <v>239</v>
      </c>
    </row>
    <row r="29" spans="1:5" x14ac:dyDescent="0.25">
      <c r="A29" t="s">
        <v>266</v>
      </c>
      <c r="B29" t="s">
        <v>56</v>
      </c>
      <c r="C29">
        <v>163</v>
      </c>
      <c r="D29" t="s">
        <v>238</v>
      </c>
      <c r="E29" t="s">
        <v>239</v>
      </c>
    </row>
    <row r="30" spans="1:5" x14ac:dyDescent="0.25">
      <c r="A30" t="s">
        <v>267</v>
      </c>
      <c r="B30" t="s">
        <v>56</v>
      </c>
      <c r="C30">
        <v>172</v>
      </c>
      <c r="D30" t="s">
        <v>238</v>
      </c>
      <c r="E30" t="s">
        <v>239</v>
      </c>
    </row>
    <row r="31" spans="1:5" x14ac:dyDescent="0.25">
      <c r="A31" t="s">
        <v>268</v>
      </c>
      <c r="B31" t="s">
        <v>56</v>
      </c>
      <c r="C31">
        <v>178</v>
      </c>
      <c r="D31" t="s">
        <v>238</v>
      </c>
      <c r="E31" t="s">
        <v>239</v>
      </c>
    </row>
    <row r="32" spans="1:5" x14ac:dyDescent="0.25">
      <c r="A32" t="s">
        <v>269</v>
      </c>
      <c r="B32" t="s">
        <v>56</v>
      </c>
      <c r="C32">
        <v>199</v>
      </c>
      <c r="D32" t="s">
        <v>238</v>
      </c>
      <c r="E32" t="s">
        <v>239</v>
      </c>
    </row>
    <row r="33" spans="1:5" x14ac:dyDescent="0.25">
      <c r="A33" t="s">
        <v>270</v>
      </c>
      <c r="B33" t="s">
        <v>56</v>
      </c>
      <c r="C33">
        <v>199</v>
      </c>
      <c r="D33" t="s">
        <v>238</v>
      </c>
      <c r="E33" t="s">
        <v>239</v>
      </c>
    </row>
    <row r="34" spans="1:5" x14ac:dyDescent="0.25">
      <c r="A34" t="s">
        <v>271</v>
      </c>
      <c r="B34" t="s">
        <v>56</v>
      </c>
      <c r="C34">
        <v>184</v>
      </c>
      <c r="D34" t="s">
        <v>238</v>
      </c>
      <c r="E34" t="s">
        <v>239</v>
      </c>
    </row>
    <row r="35" spans="1:5" x14ac:dyDescent="0.25">
      <c r="A35" t="s">
        <v>272</v>
      </c>
      <c r="B35" t="s">
        <v>56</v>
      </c>
      <c r="C35">
        <v>162</v>
      </c>
      <c r="D35" t="s">
        <v>238</v>
      </c>
      <c r="E35" t="s">
        <v>239</v>
      </c>
    </row>
    <row r="36" spans="1:5" x14ac:dyDescent="0.25">
      <c r="A36" t="s">
        <v>273</v>
      </c>
      <c r="B36" t="s">
        <v>56</v>
      </c>
      <c r="C36">
        <v>146</v>
      </c>
      <c r="D36" t="s">
        <v>238</v>
      </c>
      <c r="E36" t="s">
        <v>239</v>
      </c>
    </row>
    <row r="37" spans="1:5" x14ac:dyDescent="0.25">
      <c r="A37" t="s">
        <v>274</v>
      </c>
      <c r="B37" t="s">
        <v>56</v>
      </c>
      <c r="C37">
        <v>166</v>
      </c>
      <c r="D37" t="s">
        <v>238</v>
      </c>
      <c r="E37" t="s">
        <v>239</v>
      </c>
    </row>
    <row r="38" spans="1:5" x14ac:dyDescent="0.25">
      <c r="A38" t="s">
        <v>275</v>
      </c>
      <c r="B38" t="s">
        <v>56</v>
      </c>
      <c r="C38">
        <v>171</v>
      </c>
      <c r="D38" t="s">
        <v>238</v>
      </c>
      <c r="E38" t="s">
        <v>239</v>
      </c>
    </row>
    <row r="39" spans="1:5" x14ac:dyDescent="0.25">
      <c r="A39" t="s">
        <v>276</v>
      </c>
      <c r="B39" t="s">
        <v>56</v>
      </c>
      <c r="C39">
        <v>180</v>
      </c>
      <c r="D39" t="s">
        <v>238</v>
      </c>
      <c r="E39" t="s">
        <v>239</v>
      </c>
    </row>
    <row r="40" spans="1:5" x14ac:dyDescent="0.25">
      <c r="A40" t="s">
        <v>277</v>
      </c>
      <c r="B40" t="s">
        <v>56</v>
      </c>
      <c r="C40">
        <v>193</v>
      </c>
      <c r="D40" t="s">
        <v>238</v>
      </c>
      <c r="E40" t="s">
        <v>239</v>
      </c>
    </row>
    <row r="41" spans="1:5" x14ac:dyDescent="0.25">
      <c r="A41" t="s">
        <v>278</v>
      </c>
      <c r="B41" t="s">
        <v>56</v>
      </c>
      <c r="C41">
        <v>181</v>
      </c>
      <c r="D41" t="s">
        <v>238</v>
      </c>
      <c r="E41" t="s">
        <v>239</v>
      </c>
    </row>
    <row r="42" spans="1:5" x14ac:dyDescent="0.25">
      <c r="A42" t="s">
        <v>279</v>
      </c>
      <c r="B42" t="s">
        <v>56</v>
      </c>
      <c r="C42">
        <v>183</v>
      </c>
      <c r="D42" t="s">
        <v>238</v>
      </c>
      <c r="E42" t="s">
        <v>239</v>
      </c>
    </row>
    <row r="43" spans="1:5" x14ac:dyDescent="0.25">
      <c r="A43" t="s">
        <v>280</v>
      </c>
      <c r="B43" t="s">
        <v>56</v>
      </c>
      <c r="C43">
        <v>218</v>
      </c>
      <c r="D43" t="s">
        <v>238</v>
      </c>
      <c r="E43" t="s">
        <v>239</v>
      </c>
    </row>
    <row r="44" spans="1:5" x14ac:dyDescent="0.25">
      <c r="A44" t="s">
        <v>281</v>
      </c>
      <c r="B44" t="s">
        <v>56</v>
      </c>
      <c r="C44">
        <v>230</v>
      </c>
      <c r="D44" t="s">
        <v>238</v>
      </c>
      <c r="E44" t="s">
        <v>239</v>
      </c>
    </row>
    <row r="45" spans="1:5" x14ac:dyDescent="0.25">
      <c r="A45" t="s">
        <v>282</v>
      </c>
      <c r="B45" t="s">
        <v>56</v>
      </c>
      <c r="C45">
        <v>242</v>
      </c>
      <c r="D45" t="s">
        <v>238</v>
      </c>
      <c r="E45" t="s">
        <v>239</v>
      </c>
    </row>
    <row r="46" spans="1:5" x14ac:dyDescent="0.25">
      <c r="A46" t="s">
        <v>283</v>
      </c>
      <c r="B46" t="s">
        <v>56</v>
      </c>
      <c r="C46">
        <v>209</v>
      </c>
      <c r="D46" t="s">
        <v>238</v>
      </c>
      <c r="E46" t="s">
        <v>239</v>
      </c>
    </row>
    <row r="47" spans="1:5" x14ac:dyDescent="0.25">
      <c r="A47" t="s">
        <v>284</v>
      </c>
      <c r="B47" t="s">
        <v>56</v>
      </c>
      <c r="C47">
        <v>191</v>
      </c>
      <c r="D47" t="s">
        <v>238</v>
      </c>
      <c r="E47" t="s">
        <v>239</v>
      </c>
    </row>
    <row r="48" spans="1:5" x14ac:dyDescent="0.25">
      <c r="A48" t="s">
        <v>285</v>
      </c>
      <c r="B48" t="s">
        <v>56</v>
      </c>
      <c r="C48">
        <v>172</v>
      </c>
      <c r="D48" t="s">
        <v>238</v>
      </c>
      <c r="E48" t="s">
        <v>239</v>
      </c>
    </row>
    <row r="49" spans="1:5" x14ac:dyDescent="0.25">
      <c r="A49" t="s">
        <v>286</v>
      </c>
      <c r="B49" t="s">
        <v>56</v>
      </c>
      <c r="C49">
        <v>194</v>
      </c>
      <c r="D49" t="s">
        <v>238</v>
      </c>
      <c r="E49" t="s">
        <v>239</v>
      </c>
    </row>
    <row r="50" spans="1:5" x14ac:dyDescent="0.25">
      <c r="A50" t="s">
        <v>287</v>
      </c>
      <c r="B50" t="s">
        <v>56</v>
      </c>
      <c r="C50">
        <v>196</v>
      </c>
      <c r="D50" t="s">
        <v>238</v>
      </c>
      <c r="E50" t="s">
        <v>239</v>
      </c>
    </row>
    <row r="51" spans="1:5" x14ac:dyDescent="0.25">
      <c r="A51" t="s">
        <v>288</v>
      </c>
      <c r="B51" t="s">
        <v>56</v>
      </c>
      <c r="C51">
        <v>196</v>
      </c>
      <c r="D51" t="s">
        <v>238</v>
      </c>
      <c r="E51" t="s">
        <v>239</v>
      </c>
    </row>
    <row r="52" spans="1:5" x14ac:dyDescent="0.25">
      <c r="A52" t="s">
        <v>289</v>
      </c>
      <c r="B52" t="s">
        <v>56</v>
      </c>
      <c r="C52">
        <v>236</v>
      </c>
      <c r="D52" t="s">
        <v>238</v>
      </c>
      <c r="E52" t="s">
        <v>239</v>
      </c>
    </row>
    <row r="53" spans="1:5" x14ac:dyDescent="0.25">
      <c r="A53" t="s">
        <v>290</v>
      </c>
      <c r="B53" t="s">
        <v>56</v>
      </c>
      <c r="C53">
        <v>235</v>
      </c>
      <c r="D53" t="s">
        <v>238</v>
      </c>
      <c r="E53" t="s">
        <v>239</v>
      </c>
    </row>
    <row r="54" spans="1:5" x14ac:dyDescent="0.25">
      <c r="A54" t="s">
        <v>291</v>
      </c>
      <c r="B54" t="s">
        <v>56</v>
      </c>
      <c r="C54">
        <v>229</v>
      </c>
      <c r="D54" t="s">
        <v>238</v>
      </c>
      <c r="E54" t="s">
        <v>239</v>
      </c>
    </row>
    <row r="55" spans="1:5" x14ac:dyDescent="0.25">
      <c r="A55" t="s">
        <v>292</v>
      </c>
      <c r="B55" t="s">
        <v>56</v>
      </c>
      <c r="C55">
        <v>243</v>
      </c>
      <c r="D55" t="s">
        <v>238</v>
      </c>
      <c r="E55" t="s">
        <v>239</v>
      </c>
    </row>
    <row r="56" spans="1:5" x14ac:dyDescent="0.25">
      <c r="A56" t="s">
        <v>293</v>
      </c>
      <c r="B56" t="s">
        <v>56</v>
      </c>
      <c r="C56">
        <v>264</v>
      </c>
      <c r="D56" t="s">
        <v>238</v>
      </c>
      <c r="E56" t="s">
        <v>239</v>
      </c>
    </row>
    <row r="57" spans="1:5" x14ac:dyDescent="0.25">
      <c r="A57" t="s">
        <v>294</v>
      </c>
      <c r="B57" t="s">
        <v>56</v>
      </c>
      <c r="C57">
        <v>272</v>
      </c>
      <c r="D57" t="s">
        <v>238</v>
      </c>
      <c r="E57" t="s">
        <v>239</v>
      </c>
    </row>
    <row r="58" spans="1:5" x14ac:dyDescent="0.25">
      <c r="A58" t="s">
        <v>295</v>
      </c>
      <c r="B58" t="s">
        <v>56</v>
      </c>
      <c r="C58">
        <v>237</v>
      </c>
      <c r="D58" t="s">
        <v>238</v>
      </c>
      <c r="E58" t="s">
        <v>239</v>
      </c>
    </row>
    <row r="59" spans="1:5" x14ac:dyDescent="0.25">
      <c r="A59" t="s">
        <v>296</v>
      </c>
      <c r="B59" t="s">
        <v>56</v>
      </c>
      <c r="C59">
        <v>211</v>
      </c>
      <c r="D59" t="s">
        <v>238</v>
      </c>
      <c r="E59" t="s">
        <v>239</v>
      </c>
    </row>
    <row r="60" spans="1:5" x14ac:dyDescent="0.25">
      <c r="A60" t="s">
        <v>297</v>
      </c>
      <c r="B60" t="s">
        <v>56</v>
      </c>
      <c r="C60">
        <v>180</v>
      </c>
      <c r="D60" t="s">
        <v>238</v>
      </c>
      <c r="E60" t="s">
        <v>239</v>
      </c>
    </row>
    <row r="61" spans="1:5" x14ac:dyDescent="0.25">
      <c r="A61" t="s">
        <v>298</v>
      </c>
      <c r="B61" t="s">
        <v>56</v>
      </c>
      <c r="C61">
        <v>201</v>
      </c>
      <c r="D61" t="s">
        <v>238</v>
      </c>
      <c r="E61" t="s">
        <v>239</v>
      </c>
    </row>
    <row r="62" spans="1:5" x14ac:dyDescent="0.25">
      <c r="A62" t="s">
        <v>299</v>
      </c>
      <c r="B62" t="s">
        <v>56</v>
      </c>
      <c r="C62">
        <v>204</v>
      </c>
      <c r="D62" t="s">
        <v>238</v>
      </c>
      <c r="E62" t="s">
        <v>239</v>
      </c>
    </row>
    <row r="63" spans="1:5" x14ac:dyDescent="0.25">
      <c r="A63" t="s">
        <v>300</v>
      </c>
      <c r="B63" t="s">
        <v>56</v>
      </c>
      <c r="C63">
        <v>188</v>
      </c>
      <c r="D63" t="s">
        <v>238</v>
      </c>
      <c r="E63" t="s">
        <v>239</v>
      </c>
    </row>
    <row r="64" spans="1:5" x14ac:dyDescent="0.25">
      <c r="A64" t="s">
        <v>301</v>
      </c>
      <c r="B64" t="s">
        <v>56</v>
      </c>
      <c r="C64">
        <v>235</v>
      </c>
      <c r="D64" t="s">
        <v>238</v>
      </c>
      <c r="E64" t="s">
        <v>239</v>
      </c>
    </row>
    <row r="65" spans="1:5" x14ac:dyDescent="0.25">
      <c r="A65" t="s">
        <v>302</v>
      </c>
      <c r="B65" t="s">
        <v>56</v>
      </c>
      <c r="C65">
        <v>227</v>
      </c>
      <c r="D65" t="s">
        <v>238</v>
      </c>
      <c r="E65" t="s">
        <v>239</v>
      </c>
    </row>
    <row r="66" spans="1:5" x14ac:dyDescent="0.25">
      <c r="A66" t="s">
        <v>303</v>
      </c>
      <c r="B66" t="s">
        <v>56</v>
      </c>
      <c r="C66">
        <v>234</v>
      </c>
      <c r="D66" t="s">
        <v>238</v>
      </c>
      <c r="E66" t="s">
        <v>239</v>
      </c>
    </row>
    <row r="67" spans="1:5" x14ac:dyDescent="0.25">
      <c r="A67" t="s">
        <v>304</v>
      </c>
      <c r="B67" t="s">
        <v>56</v>
      </c>
      <c r="C67">
        <v>264</v>
      </c>
      <c r="D67" t="s">
        <v>238</v>
      </c>
      <c r="E67" t="s">
        <v>239</v>
      </c>
    </row>
    <row r="68" spans="1:5" x14ac:dyDescent="0.25">
      <c r="A68" t="s">
        <v>305</v>
      </c>
      <c r="B68" t="s">
        <v>56</v>
      </c>
      <c r="C68">
        <v>302</v>
      </c>
      <c r="D68" t="s">
        <v>238</v>
      </c>
      <c r="E68" t="s">
        <v>239</v>
      </c>
    </row>
    <row r="69" spans="1:5" x14ac:dyDescent="0.25">
      <c r="A69" t="s">
        <v>306</v>
      </c>
      <c r="B69" t="s">
        <v>56</v>
      </c>
      <c r="C69">
        <v>293</v>
      </c>
      <c r="D69" t="s">
        <v>238</v>
      </c>
      <c r="E69" t="s">
        <v>239</v>
      </c>
    </row>
    <row r="70" spans="1:5" x14ac:dyDescent="0.25">
      <c r="A70" t="s">
        <v>307</v>
      </c>
      <c r="B70" t="s">
        <v>56</v>
      </c>
      <c r="C70">
        <v>259</v>
      </c>
      <c r="D70" t="s">
        <v>238</v>
      </c>
      <c r="E70" t="s">
        <v>239</v>
      </c>
    </row>
    <row r="71" spans="1:5" x14ac:dyDescent="0.25">
      <c r="A71" t="s">
        <v>308</v>
      </c>
      <c r="B71" t="s">
        <v>56</v>
      </c>
      <c r="C71">
        <v>229</v>
      </c>
      <c r="D71" t="s">
        <v>238</v>
      </c>
      <c r="E71" t="s">
        <v>239</v>
      </c>
    </row>
    <row r="72" spans="1:5" x14ac:dyDescent="0.25">
      <c r="A72" t="s">
        <v>309</v>
      </c>
      <c r="B72" t="s">
        <v>56</v>
      </c>
      <c r="C72">
        <v>203</v>
      </c>
      <c r="D72" t="s">
        <v>238</v>
      </c>
      <c r="E72" t="s">
        <v>239</v>
      </c>
    </row>
    <row r="73" spans="1:5" x14ac:dyDescent="0.25">
      <c r="A73" t="s">
        <v>310</v>
      </c>
      <c r="B73" t="s">
        <v>56</v>
      </c>
      <c r="C73">
        <v>229</v>
      </c>
      <c r="D73" t="s">
        <v>238</v>
      </c>
      <c r="E73" t="s">
        <v>239</v>
      </c>
    </row>
    <row r="74" spans="1:5" x14ac:dyDescent="0.25">
      <c r="A74" t="s">
        <v>311</v>
      </c>
      <c r="B74" t="s">
        <v>56</v>
      </c>
      <c r="C74">
        <v>242</v>
      </c>
      <c r="D74" t="s">
        <v>238</v>
      </c>
      <c r="E74" t="s">
        <v>239</v>
      </c>
    </row>
    <row r="75" spans="1:5" x14ac:dyDescent="0.25">
      <c r="A75" t="s">
        <v>312</v>
      </c>
      <c r="B75" t="s">
        <v>56</v>
      </c>
      <c r="C75">
        <v>233</v>
      </c>
      <c r="D75" t="s">
        <v>238</v>
      </c>
      <c r="E75" t="s">
        <v>239</v>
      </c>
    </row>
    <row r="76" spans="1:5" x14ac:dyDescent="0.25">
      <c r="A76" t="s">
        <v>313</v>
      </c>
      <c r="B76" t="s">
        <v>56</v>
      </c>
      <c r="C76">
        <v>267</v>
      </c>
      <c r="D76" t="s">
        <v>238</v>
      </c>
      <c r="E76" t="s">
        <v>239</v>
      </c>
    </row>
    <row r="77" spans="1:5" x14ac:dyDescent="0.25">
      <c r="A77" t="s">
        <v>314</v>
      </c>
      <c r="B77" t="s">
        <v>56</v>
      </c>
      <c r="C77">
        <v>269</v>
      </c>
      <c r="D77" t="s">
        <v>238</v>
      </c>
      <c r="E77" t="s">
        <v>239</v>
      </c>
    </row>
    <row r="78" spans="1:5" x14ac:dyDescent="0.25">
      <c r="A78" t="s">
        <v>315</v>
      </c>
      <c r="B78" t="s">
        <v>56</v>
      </c>
      <c r="C78">
        <v>270</v>
      </c>
      <c r="D78" t="s">
        <v>238</v>
      </c>
      <c r="E78" t="s">
        <v>239</v>
      </c>
    </row>
    <row r="79" spans="1:5" x14ac:dyDescent="0.25">
      <c r="A79" t="s">
        <v>316</v>
      </c>
      <c r="B79" t="s">
        <v>56</v>
      </c>
      <c r="C79">
        <v>315</v>
      </c>
      <c r="D79" t="s">
        <v>238</v>
      </c>
      <c r="E79" t="s">
        <v>239</v>
      </c>
    </row>
    <row r="80" spans="1:5" x14ac:dyDescent="0.25">
      <c r="A80" t="s">
        <v>317</v>
      </c>
      <c r="B80" t="s">
        <v>56</v>
      </c>
      <c r="C80">
        <v>364</v>
      </c>
      <c r="D80" t="s">
        <v>238</v>
      </c>
      <c r="E80" t="s">
        <v>239</v>
      </c>
    </row>
    <row r="81" spans="1:5" x14ac:dyDescent="0.25">
      <c r="A81" t="s">
        <v>318</v>
      </c>
      <c r="B81" t="s">
        <v>56</v>
      </c>
      <c r="C81">
        <v>347</v>
      </c>
      <c r="D81" t="s">
        <v>238</v>
      </c>
      <c r="E81" t="s">
        <v>239</v>
      </c>
    </row>
    <row r="82" spans="1:5" x14ac:dyDescent="0.25">
      <c r="A82" t="s">
        <v>319</v>
      </c>
      <c r="B82" t="s">
        <v>56</v>
      </c>
      <c r="C82">
        <v>312</v>
      </c>
      <c r="D82" t="s">
        <v>238</v>
      </c>
      <c r="E82" t="s">
        <v>239</v>
      </c>
    </row>
    <row r="83" spans="1:5" x14ac:dyDescent="0.25">
      <c r="A83" t="s">
        <v>320</v>
      </c>
      <c r="B83" t="s">
        <v>56</v>
      </c>
      <c r="C83">
        <v>274</v>
      </c>
      <c r="D83" t="s">
        <v>238</v>
      </c>
      <c r="E83" t="s">
        <v>239</v>
      </c>
    </row>
    <row r="84" spans="1:5" x14ac:dyDescent="0.25">
      <c r="A84" t="s">
        <v>321</v>
      </c>
      <c r="B84" t="s">
        <v>56</v>
      </c>
      <c r="C84">
        <v>237</v>
      </c>
      <c r="D84" t="s">
        <v>238</v>
      </c>
      <c r="E84" t="s">
        <v>239</v>
      </c>
    </row>
    <row r="85" spans="1:5" x14ac:dyDescent="0.25">
      <c r="A85" t="s">
        <v>322</v>
      </c>
      <c r="B85" t="s">
        <v>56</v>
      </c>
      <c r="C85">
        <v>278</v>
      </c>
      <c r="D85" t="s">
        <v>238</v>
      </c>
      <c r="E85" t="s">
        <v>239</v>
      </c>
    </row>
    <row r="86" spans="1:5" x14ac:dyDescent="0.25">
      <c r="A86" t="s">
        <v>323</v>
      </c>
      <c r="B86" t="s">
        <v>56</v>
      </c>
      <c r="C86">
        <v>284</v>
      </c>
      <c r="D86" t="s">
        <v>238</v>
      </c>
      <c r="E86" t="s">
        <v>239</v>
      </c>
    </row>
    <row r="87" spans="1:5" x14ac:dyDescent="0.25">
      <c r="A87" t="s">
        <v>324</v>
      </c>
      <c r="B87" t="s">
        <v>56</v>
      </c>
      <c r="C87">
        <v>277</v>
      </c>
      <c r="D87" t="s">
        <v>238</v>
      </c>
      <c r="E87" t="s">
        <v>239</v>
      </c>
    </row>
    <row r="88" spans="1:5" x14ac:dyDescent="0.25">
      <c r="A88" t="s">
        <v>325</v>
      </c>
      <c r="B88" t="s">
        <v>56</v>
      </c>
      <c r="C88">
        <v>317</v>
      </c>
      <c r="D88" t="s">
        <v>238</v>
      </c>
      <c r="E88" t="s">
        <v>239</v>
      </c>
    </row>
    <row r="89" spans="1:5" x14ac:dyDescent="0.25">
      <c r="A89" t="s">
        <v>326</v>
      </c>
      <c r="B89" t="s">
        <v>56</v>
      </c>
      <c r="C89">
        <v>313</v>
      </c>
      <c r="D89" t="s">
        <v>238</v>
      </c>
      <c r="E89" t="s">
        <v>239</v>
      </c>
    </row>
    <row r="90" spans="1:5" x14ac:dyDescent="0.25">
      <c r="A90" t="s">
        <v>327</v>
      </c>
      <c r="B90" t="s">
        <v>56</v>
      </c>
      <c r="C90">
        <v>318</v>
      </c>
      <c r="D90" t="s">
        <v>238</v>
      </c>
      <c r="E90" t="s">
        <v>239</v>
      </c>
    </row>
    <row r="91" spans="1:5" x14ac:dyDescent="0.25">
      <c r="A91" t="s">
        <v>328</v>
      </c>
      <c r="B91" t="s">
        <v>56</v>
      </c>
      <c r="C91">
        <v>374</v>
      </c>
      <c r="D91" t="s">
        <v>238</v>
      </c>
      <c r="E91" t="s">
        <v>239</v>
      </c>
    </row>
    <row r="92" spans="1:5" x14ac:dyDescent="0.25">
      <c r="A92" t="s">
        <v>329</v>
      </c>
      <c r="B92" t="s">
        <v>56</v>
      </c>
      <c r="C92">
        <v>413</v>
      </c>
      <c r="D92" t="s">
        <v>238</v>
      </c>
      <c r="E92" t="s">
        <v>239</v>
      </c>
    </row>
    <row r="93" spans="1:5" x14ac:dyDescent="0.25">
      <c r="A93" t="s">
        <v>330</v>
      </c>
      <c r="B93" t="s">
        <v>56</v>
      </c>
      <c r="C93">
        <v>405</v>
      </c>
      <c r="D93" t="s">
        <v>238</v>
      </c>
      <c r="E93" t="s">
        <v>239</v>
      </c>
    </row>
    <row r="94" spans="1:5" x14ac:dyDescent="0.25">
      <c r="A94" t="s">
        <v>331</v>
      </c>
      <c r="B94" t="s">
        <v>56</v>
      </c>
      <c r="C94">
        <v>355</v>
      </c>
      <c r="D94" t="s">
        <v>238</v>
      </c>
      <c r="E94" t="s">
        <v>239</v>
      </c>
    </row>
    <row r="95" spans="1:5" x14ac:dyDescent="0.25">
      <c r="A95" t="s">
        <v>332</v>
      </c>
      <c r="B95" t="s">
        <v>56</v>
      </c>
      <c r="C95">
        <v>306</v>
      </c>
      <c r="D95" t="s">
        <v>238</v>
      </c>
      <c r="E95" t="s">
        <v>239</v>
      </c>
    </row>
    <row r="96" spans="1:5" x14ac:dyDescent="0.25">
      <c r="A96" t="s">
        <v>333</v>
      </c>
      <c r="B96" t="s">
        <v>56</v>
      </c>
      <c r="C96">
        <v>271</v>
      </c>
      <c r="D96" t="s">
        <v>238</v>
      </c>
      <c r="E96" t="s">
        <v>239</v>
      </c>
    </row>
    <row r="97" spans="1:5" x14ac:dyDescent="0.25">
      <c r="A97" t="s">
        <v>334</v>
      </c>
      <c r="B97" t="s">
        <v>56</v>
      </c>
      <c r="C97">
        <v>306</v>
      </c>
      <c r="D97" t="s">
        <v>238</v>
      </c>
      <c r="E97" t="s">
        <v>239</v>
      </c>
    </row>
    <row r="98" spans="1:5" x14ac:dyDescent="0.25">
      <c r="A98" t="s">
        <v>335</v>
      </c>
      <c r="B98" t="s">
        <v>56</v>
      </c>
      <c r="C98">
        <v>315</v>
      </c>
      <c r="D98" t="s">
        <v>238</v>
      </c>
      <c r="E98" t="s">
        <v>239</v>
      </c>
    </row>
    <row r="99" spans="1:5" x14ac:dyDescent="0.25">
      <c r="A99" t="s">
        <v>336</v>
      </c>
      <c r="B99" t="s">
        <v>56</v>
      </c>
      <c r="C99">
        <v>301</v>
      </c>
      <c r="D99" t="s">
        <v>238</v>
      </c>
      <c r="E99" t="s">
        <v>239</v>
      </c>
    </row>
    <row r="100" spans="1:5" x14ac:dyDescent="0.25">
      <c r="A100" t="s">
        <v>337</v>
      </c>
      <c r="B100" t="s">
        <v>56</v>
      </c>
      <c r="C100">
        <v>356</v>
      </c>
      <c r="D100" t="s">
        <v>238</v>
      </c>
      <c r="E100" t="s">
        <v>239</v>
      </c>
    </row>
    <row r="101" spans="1:5" x14ac:dyDescent="0.25">
      <c r="A101" t="s">
        <v>338</v>
      </c>
      <c r="B101" t="s">
        <v>56</v>
      </c>
      <c r="C101">
        <v>348</v>
      </c>
      <c r="D101" t="s">
        <v>238</v>
      </c>
      <c r="E101" t="s">
        <v>239</v>
      </c>
    </row>
    <row r="102" spans="1:5" x14ac:dyDescent="0.25">
      <c r="A102" t="s">
        <v>339</v>
      </c>
      <c r="B102" t="s">
        <v>56</v>
      </c>
      <c r="C102">
        <v>355</v>
      </c>
      <c r="D102" t="s">
        <v>238</v>
      </c>
      <c r="E102" t="s">
        <v>239</v>
      </c>
    </row>
    <row r="103" spans="1:5" x14ac:dyDescent="0.25">
      <c r="A103" t="s">
        <v>340</v>
      </c>
      <c r="B103" t="s">
        <v>56</v>
      </c>
      <c r="C103">
        <v>422</v>
      </c>
      <c r="D103" t="s">
        <v>238</v>
      </c>
      <c r="E103" t="s">
        <v>239</v>
      </c>
    </row>
    <row r="104" spans="1:5" x14ac:dyDescent="0.25">
      <c r="A104" t="s">
        <v>341</v>
      </c>
      <c r="B104" t="s">
        <v>56</v>
      </c>
      <c r="C104">
        <v>465</v>
      </c>
      <c r="D104" t="s">
        <v>238</v>
      </c>
      <c r="E104" t="s">
        <v>239</v>
      </c>
    </row>
    <row r="105" spans="1:5" x14ac:dyDescent="0.25">
      <c r="A105" t="s">
        <v>342</v>
      </c>
      <c r="B105" t="s">
        <v>56</v>
      </c>
      <c r="C105">
        <v>467</v>
      </c>
      <c r="D105" t="s">
        <v>238</v>
      </c>
      <c r="E105" t="s">
        <v>239</v>
      </c>
    </row>
    <row r="106" spans="1:5" x14ac:dyDescent="0.25">
      <c r="A106" t="s">
        <v>343</v>
      </c>
      <c r="B106" t="s">
        <v>56</v>
      </c>
      <c r="C106">
        <v>404</v>
      </c>
      <c r="D106" t="s">
        <v>238</v>
      </c>
      <c r="E106" t="s">
        <v>239</v>
      </c>
    </row>
    <row r="107" spans="1:5" x14ac:dyDescent="0.25">
      <c r="A107" t="s">
        <v>344</v>
      </c>
      <c r="B107" t="s">
        <v>56</v>
      </c>
      <c r="C107">
        <v>347</v>
      </c>
      <c r="D107" t="s">
        <v>238</v>
      </c>
      <c r="E107" t="s">
        <v>239</v>
      </c>
    </row>
    <row r="108" spans="1:5" x14ac:dyDescent="0.25">
      <c r="A108" t="s">
        <v>345</v>
      </c>
      <c r="B108" t="s">
        <v>56</v>
      </c>
      <c r="C108">
        <v>305</v>
      </c>
      <c r="D108" t="s">
        <v>238</v>
      </c>
      <c r="E108" t="s">
        <v>239</v>
      </c>
    </row>
    <row r="109" spans="1:5" x14ac:dyDescent="0.25">
      <c r="A109" t="s">
        <v>346</v>
      </c>
      <c r="B109" t="s">
        <v>56</v>
      </c>
      <c r="C109">
        <v>336</v>
      </c>
      <c r="D109" t="s">
        <v>238</v>
      </c>
      <c r="E109" t="s">
        <v>239</v>
      </c>
    </row>
    <row r="110" spans="1:5" x14ac:dyDescent="0.25">
      <c r="A110" t="s">
        <v>347</v>
      </c>
      <c r="B110" t="s">
        <v>56</v>
      </c>
      <c r="C110">
        <v>340</v>
      </c>
      <c r="D110" t="s">
        <v>238</v>
      </c>
      <c r="E110" t="s">
        <v>239</v>
      </c>
    </row>
    <row r="111" spans="1:5" x14ac:dyDescent="0.25">
      <c r="A111" t="s">
        <v>348</v>
      </c>
      <c r="B111" t="s">
        <v>56</v>
      </c>
      <c r="C111">
        <v>318</v>
      </c>
      <c r="D111" t="s">
        <v>238</v>
      </c>
      <c r="E111" t="s">
        <v>239</v>
      </c>
    </row>
    <row r="112" spans="1:5" x14ac:dyDescent="0.25">
      <c r="A112" t="s">
        <v>349</v>
      </c>
      <c r="B112" t="s">
        <v>56</v>
      </c>
      <c r="C112">
        <v>362</v>
      </c>
      <c r="D112" t="s">
        <v>238</v>
      </c>
      <c r="E112" t="s">
        <v>239</v>
      </c>
    </row>
    <row r="113" spans="1:5" x14ac:dyDescent="0.25">
      <c r="A113" t="s">
        <v>350</v>
      </c>
      <c r="B113" t="s">
        <v>56</v>
      </c>
      <c r="C113">
        <v>348</v>
      </c>
      <c r="D113" t="s">
        <v>238</v>
      </c>
      <c r="E113" t="s">
        <v>239</v>
      </c>
    </row>
    <row r="114" spans="1:5" x14ac:dyDescent="0.25">
      <c r="A114" t="s">
        <v>351</v>
      </c>
      <c r="B114" t="s">
        <v>56</v>
      </c>
      <c r="C114">
        <v>363</v>
      </c>
      <c r="D114" t="s">
        <v>238</v>
      </c>
      <c r="E114" t="s">
        <v>239</v>
      </c>
    </row>
    <row r="115" spans="1:5" x14ac:dyDescent="0.25">
      <c r="A115" t="s">
        <v>352</v>
      </c>
      <c r="B115" t="s">
        <v>56</v>
      </c>
      <c r="C115">
        <v>435</v>
      </c>
      <c r="D115" t="s">
        <v>238</v>
      </c>
      <c r="E115" t="s">
        <v>239</v>
      </c>
    </row>
    <row r="116" spans="1:5" x14ac:dyDescent="0.25">
      <c r="A116" t="s">
        <v>353</v>
      </c>
      <c r="B116" t="s">
        <v>56</v>
      </c>
      <c r="C116">
        <v>491</v>
      </c>
      <c r="D116" t="s">
        <v>238</v>
      </c>
      <c r="E116" t="s">
        <v>239</v>
      </c>
    </row>
    <row r="117" spans="1:5" x14ac:dyDescent="0.25">
      <c r="A117" t="s">
        <v>354</v>
      </c>
      <c r="B117" t="s">
        <v>56</v>
      </c>
      <c r="C117">
        <v>505</v>
      </c>
      <c r="D117" t="s">
        <v>238</v>
      </c>
      <c r="E117" t="s">
        <v>239</v>
      </c>
    </row>
    <row r="118" spans="1:5" x14ac:dyDescent="0.25">
      <c r="A118" t="s">
        <v>355</v>
      </c>
      <c r="B118" t="s">
        <v>56</v>
      </c>
      <c r="C118">
        <v>404</v>
      </c>
      <c r="D118" t="s">
        <v>238</v>
      </c>
      <c r="E118" t="s">
        <v>239</v>
      </c>
    </row>
    <row r="119" spans="1:5" x14ac:dyDescent="0.25">
      <c r="A119" t="s">
        <v>356</v>
      </c>
      <c r="B119" t="s">
        <v>56</v>
      </c>
      <c r="C119">
        <v>359</v>
      </c>
      <c r="D119" t="s">
        <v>238</v>
      </c>
      <c r="E119" t="s">
        <v>239</v>
      </c>
    </row>
    <row r="120" spans="1:5" x14ac:dyDescent="0.25">
      <c r="A120" t="s">
        <v>357</v>
      </c>
      <c r="B120" t="s">
        <v>56</v>
      </c>
      <c r="C120">
        <v>310</v>
      </c>
      <c r="D120" t="s">
        <v>238</v>
      </c>
      <c r="E120" t="s">
        <v>239</v>
      </c>
    </row>
    <row r="121" spans="1:5" x14ac:dyDescent="0.25">
      <c r="A121" t="s">
        <v>358</v>
      </c>
      <c r="B121" t="s">
        <v>56</v>
      </c>
      <c r="C121">
        <v>337</v>
      </c>
      <c r="D121" t="s">
        <v>238</v>
      </c>
      <c r="E121" t="s">
        <v>239</v>
      </c>
    </row>
    <row r="122" spans="1:5" x14ac:dyDescent="0.25">
      <c r="A122" t="s">
        <v>359</v>
      </c>
      <c r="B122" t="s">
        <v>56</v>
      </c>
      <c r="C122">
        <v>360</v>
      </c>
      <c r="D122" t="s">
        <v>238</v>
      </c>
      <c r="E122" t="s">
        <v>239</v>
      </c>
    </row>
    <row r="123" spans="1:5" x14ac:dyDescent="0.25">
      <c r="A123" t="s">
        <v>360</v>
      </c>
      <c r="B123" t="s">
        <v>56</v>
      </c>
      <c r="C123">
        <v>342</v>
      </c>
      <c r="D123" t="s">
        <v>238</v>
      </c>
      <c r="E123" t="s">
        <v>239</v>
      </c>
    </row>
    <row r="124" spans="1:5" x14ac:dyDescent="0.25">
      <c r="A124" t="s">
        <v>361</v>
      </c>
      <c r="B124" t="s">
        <v>56</v>
      </c>
      <c r="C124">
        <v>406</v>
      </c>
      <c r="D124" t="s">
        <v>238</v>
      </c>
      <c r="E124" t="s">
        <v>239</v>
      </c>
    </row>
    <row r="125" spans="1:5" x14ac:dyDescent="0.25">
      <c r="A125" t="s">
        <v>362</v>
      </c>
      <c r="B125" t="s">
        <v>56</v>
      </c>
      <c r="C125">
        <v>396</v>
      </c>
      <c r="D125" t="s">
        <v>238</v>
      </c>
      <c r="E125" t="s">
        <v>239</v>
      </c>
    </row>
    <row r="126" spans="1:5" x14ac:dyDescent="0.25">
      <c r="A126" t="s">
        <v>363</v>
      </c>
      <c r="B126" t="s">
        <v>56</v>
      </c>
      <c r="C126">
        <v>420</v>
      </c>
      <c r="D126" t="s">
        <v>238</v>
      </c>
      <c r="E126" t="s">
        <v>239</v>
      </c>
    </row>
    <row r="127" spans="1:5" x14ac:dyDescent="0.25">
      <c r="A127" t="s">
        <v>364</v>
      </c>
      <c r="B127" t="s">
        <v>56</v>
      </c>
      <c r="C127">
        <v>472</v>
      </c>
      <c r="D127" t="s">
        <v>238</v>
      </c>
      <c r="E127" t="s">
        <v>239</v>
      </c>
    </row>
    <row r="128" spans="1:5" x14ac:dyDescent="0.25">
      <c r="A128" t="s">
        <v>365</v>
      </c>
      <c r="B128" t="s">
        <v>56</v>
      </c>
      <c r="C128">
        <v>548</v>
      </c>
      <c r="D128" t="s">
        <v>238</v>
      </c>
      <c r="E128" t="s">
        <v>239</v>
      </c>
    </row>
    <row r="129" spans="1:5" x14ac:dyDescent="0.25">
      <c r="A129" t="s">
        <v>366</v>
      </c>
      <c r="B129" t="s">
        <v>56</v>
      </c>
      <c r="C129">
        <v>559</v>
      </c>
      <c r="D129" t="s">
        <v>238</v>
      </c>
      <c r="E129" t="s">
        <v>239</v>
      </c>
    </row>
    <row r="130" spans="1:5" x14ac:dyDescent="0.25">
      <c r="A130" t="s">
        <v>367</v>
      </c>
      <c r="B130" t="s">
        <v>56</v>
      </c>
      <c r="C130">
        <v>463</v>
      </c>
      <c r="D130" t="s">
        <v>238</v>
      </c>
      <c r="E130" t="s">
        <v>239</v>
      </c>
    </row>
    <row r="131" spans="1:5" x14ac:dyDescent="0.25">
      <c r="A131" t="s">
        <v>368</v>
      </c>
      <c r="B131" t="s">
        <v>56</v>
      </c>
      <c r="C131">
        <v>407</v>
      </c>
      <c r="D131" t="s">
        <v>238</v>
      </c>
      <c r="E131" t="s">
        <v>239</v>
      </c>
    </row>
    <row r="132" spans="1:5" x14ac:dyDescent="0.25">
      <c r="A132" t="s">
        <v>369</v>
      </c>
      <c r="B132" t="s">
        <v>56</v>
      </c>
      <c r="C132">
        <v>362</v>
      </c>
      <c r="D132" t="s">
        <v>238</v>
      </c>
      <c r="E132" t="s">
        <v>239</v>
      </c>
    </row>
    <row r="133" spans="1:5" x14ac:dyDescent="0.25">
      <c r="A133" t="s">
        <v>370</v>
      </c>
      <c r="B133" t="s">
        <v>56</v>
      </c>
      <c r="C133">
        <v>405</v>
      </c>
      <c r="D133" t="s">
        <v>238</v>
      </c>
      <c r="E133" t="s">
        <v>239</v>
      </c>
    </row>
    <row r="134" spans="1:5" x14ac:dyDescent="0.25">
      <c r="A134" t="s">
        <v>371</v>
      </c>
      <c r="B134" t="s">
        <v>56</v>
      </c>
      <c r="C134">
        <v>417</v>
      </c>
      <c r="D134" t="s">
        <v>238</v>
      </c>
      <c r="E134" t="s">
        <v>239</v>
      </c>
    </row>
    <row r="135" spans="1:5" x14ac:dyDescent="0.25">
      <c r="A135" t="s">
        <v>372</v>
      </c>
      <c r="B135" t="s">
        <v>56</v>
      </c>
      <c r="C135">
        <v>391</v>
      </c>
      <c r="D135" t="s">
        <v>238</v>
      </c>
      <c r="E135" t="s">
        <v>239</v>
      </c>
    </row>
    <row r="136" spans="1:5" x14ac:dyDescent="0.25">
      <c r="A136" t="s">
        <v>373</v>
      </c>
      <c r="B136" t="s">
        <v>56</v>
      </c>
      <c r="C136">
        <v>419</v>
      </c>
      <c r="D136" t="s">
        <v>238</v>
      </c>
      <c r="E136" t="s">
        <v>239</v>
      </c>
    </row>
    <row r="137" spans="1:5" x14ac:dyDescent="0.25">
      <c r="A137" t="s">
        <v>374</v>
      </c>
      <c r="B137" t="s">
        <v>56</v>
      </c>
      <c r="C137">
        <v>461</v>
      </c>
      <c r="D137" t="s">
        <v>238</v>
      </c>
      <c r="E137" t="s">
        <v>239</v>
      </c>
    </row>
    <row r="138" spans="1:5" x14ac:dyDescent="0.25">
      <c r="A138" t="s">
        <v>375</v>
      </c>
      <c r="B138" t="s">
        <v>56</v>
      </c>
      <c r="C138">
        <v>472</v>
      </c>
      <c r="D138" t="s">
        <v>238</v>
      </c>
      <c r="E138" t="s">
        <v>239</v>
      </c>
    </row>
    <row r="139" spans="1:5" x14ac:dyDescent="0.25">
      <c r="A139" t="s">
        <v>376</v>
      </c>
      <c r="B139" t="s">
        <v>56</v>
      </c>
      <c r="C139">
        <v>535</v>
      </c>
      <c r="D139" t="s">
        <v>238</v>
      </c>
      <c r="E139" t="s">
        <v>239</v>
      </c>
    </row>
    <row r="140" spans="1:5" x14ac:dyDescent="0.25">
      <c r="A140" t="s">
        <v>377</v>
      </c>
      <c r="B140" t="s">
        <v>56</v>
      </c>
      <c r="C140">
        <v>622</v>
      </c>
      <c r="D140" t="s">
        <v>238</v>
      </c>
      <c r="E140" t="s">
        <v>239</v>
      </c>
    </row>
    <row r="141" spans="1:5" x14ac:dyDescent="0.25">
      <c r="A141" t="s">
        <v>378</v>
      </c>
      <c r="B141" t="s">
        <v>56</v>
      </c>
      <c r="C141">
        <v>606</v>
      </c>
      <c r="D141" t="s">
        <v>238</v>
      </c>
      <c r="E141" t="s">
        <v>239</v>
      </c>
    </row>
    <row r="142" spans="1:5" x14ac:dyDescent="0.25">
      <c r="A142" t="s">
        <v>379</v>
      </c>
      <c r="B142" t="s">
        <v>56</v>
      </c>
      <c r="C142">
        <v>508</v>
      </c>
      <c r="D142" t="s">
        <v>238</v>
      </c>
      <c r="E142" t="s">
        <v>239</v>
      </c>
    </row>
    <row r="143" spans="1:5" x14ac:dyDescent="0.25">
      <c r="A143" t="s">
        <v>380</v>
      </c>
      <c r="B143" t="s">
        <v>56</v>
      </c>
      <c r="C143">
        <v>461</v>
      </c>
      <c r="D143" t="s">
        <v>238</v>
      </c>
      <c r="E143" t="s">
        <v>239</v>
      </c>
    </row>
    <row r="144" spans="1:5" x14ac:dyDescent="0.25">
      <c r="A144" t="s">
        <v>381</v>
      </c>
      <c r="B144" t="s">
        <v>56</v>
      </c>
      <c r="C144">
        <v>390</v>
      </c>
      <c r="D144" t="s">
        <v>238</v>
      </c>
      <c r="E144" t="s">
        <v>239</v>
      </c>
    </row>
    <row r="145" spans="1:5" x14ac:dyDescent="0.25">
      <c r="A145" t="s">
        <v>382</v>
      </c>
      <c r="B145" t="s">
        <v>56</v>
      </c>
      <c r="C145">
        <v>432</v>
      </c>
      <c r="D145" t="s">
        <v>238</v>
      </c>
      <c r="E145" t="s">
        <v>239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4901D-3CAA-4279-89BB-83CE176C9DC3}">
  <sheetPr codeName="Sheet7"/>
  <dimension ref="A1:E133"/>
  <sheetViews>
    <sheetView workbookViewId="0">
      <selection activeCell="C7" sqref="C7"/>
    </sheetView>
  </sheetViews>
  <sheetFormatPr defaultRowHeight="15" x14ac:dyDescent="0.25"/>
  <cols>
    <col min="1" max="1" width="10.42578125" bestFit="1" customWidth="1"/>
    <col min="2" max="2" width="7.42578125" bestFit="1" customWidth="1"/>
    <col min="3" max="3" width="6" bestFit="1" customWidth="1"/>
    <col min="4" max="4" width="9.7109375" bestFit="1" customWidth="1"/>
    <col min="5" max="5" width="12" bestFit="1" customWidth="1"/>
  </cols>
  <sheetData>
    <row r="1" spans="1:5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</row>
    <row r="2" spans="1:5" x14ac:dyDescent="0.25">
      <c r="A2" s="6">
        <v>44592</v>
      </c>
      <c r="B2" t="s">
        <v>48</v>
      </c>
      <c r="C2">
        <v>2699</v>
      </c>
      <c r="D2" t="s">
        <v>29</v>
      </c>
      <c r="E2" t="s">
        <v>59</v>
      </c>
    </row>
    <row r="3" spans="1:5" x14ac:dyDescent="0.25">
      <c r="A3" s="6">
        <v>44592</v>
      </c>
      <c r="B3" t="s">
        <v>49</v>
      </c>
      <c r="C3">
        <v>12605</v>
      </c>
      <c r="D3" t="s">
        <v>30</v>
      </c>
      <c r="E3" t="s">
        <v>58</v>
      </c>
    </row>
    <row r="4" spans="1:5" x14ac:dyDescent="0.25">
      <c r="A4" s="6">
        <v>44592</v>
      </c>
      <c r="B4" t="s">
        <v>50</v>
      </c>
      <c r="C4">
        <v>48123</v>
      </c>
      <c r="D4" t="s">
        <v>31</v>
      </c>
      <c r="E4" t="s">
        <v>57</v>
      </c>
    </row>
    <row r="5" spans="1:5" x14ac:dyDescent="0.25">
      <c r="A5" s="6">
        <v>44620</v>
      </c>
      <c r="B5" t="s">
        <v>48</v>
      </c>
      <c r="C5">
        <v>1269</v>
      </c>
      <c r="D5" t="s">
        <v>29</v>
      </c>
      <c r="E5" t="s">
        <v>59</v>
      </c>
    </row>
    <row r="6" spans="1:5" x14ac:dyDescent="0.25">
      <c r="A6" s="6">
        <v>44620</v>
      </c>
      <c r="B6" t="s">
        <v>49</v>
      </c>
      <c r="C6">
        <v>5594</v>
      </c>
      <c r="D6" t="s">
        <v>30</v>
      </c>
      <c r="E6" t="s">
        <v>58</v>
      </c>
    </row>
    <row r="7" spans="1:5" x14ac:dyDescent="0.25">
      <c r="A7" s="6">
        <v>44620</v>
      </c>
      <c r="B7" t="s">
        <v>50</v>
      </c>
      <c r="C7">
        <v>41962</v>
      </c>
      <c r="D7" t="s">
        <v>31</v>
      </c>
      <c r="E7" t="s">
        <v>57</v>
      </c>
    </row>
    <row r="8" spans="1:5" x14ac:dyDescent="0.25">
      <c r="A8" s="6">
        <v>44651</v>
      </c>
      <c r="B8" t="s">
        <v>48</v>
      </c>
      <c r="C8">
        <v>4542</v>
      </c>
      <c r="D8" t="s">
        <v>29</v>
      </c>
      <c r="E8" t="s">
        <v>59</v>
      </c>
    </row>
    <row r="9" spans="1:5" x14ac:dyDescent="0.25">
      <c r="A9" s="6">
        <v>44651</v>
      </c>
      <c r="B9" t="s">
        <v>49</v>
      </c>
      <c r="C9">
        <v>8998</v>
      </c>
      <c r="D9" t="s">
        <v>30</v>
      </c>
      <c r="E9" t="s">
        <v>58</v>
      </c>
    </row>
    <row r="10" spans="1:5" x14ac:dyDescent="0.25">
      <c r="A10" s="6">
        <v>44651</v>
      </c>
      <c r="B10" t="s">
        <v>50</v>
      </c>
      <c r="C10">
        <v>20086</v>
      </c>
      <c r="D10" t="s">
        <v>31</v>
      </c>
      <c r="E10" t="s">
        <v>57</v>
      </c>
    </row>
    <row r="11" spans="1:5" x14ac:dyDescent="0.25">
      <c r="A11" s="6">
        <v>44681</v>
      </c>
      <c r="B11" t="s">
        <v>48</v>
      </c>
      <c r="C11">
        <v>4694</v>
      </c>
      <c r="D11" t="s">
        <v>29</v>
      </c>
      <c r="E11" t="s">
        <v>59</v>
      </c>
    </row>
    <row r="12" spans="1:5" x14ac:dyDescent="0.25">
      <c r="A12" s="6">
        <v>44681</v>
      </c>
      <c r="B12" t="s">
        <v>49</v>
      </c>
      <c r="C12">
        <v>16547</v>
      </c>
      <c r="D12" t="s">
        <v>30</v>
      </c>
      <c r="E12" t="s">
        <v>58</v>
      </c>
    </row>
    <row r="13" spans="1:5" x14ac:dyDescent="0.25">
      <c r="A13" s="6">
        <v>44681</v>
      </c>
      <c r="B13" t="s">
        <v>50</v>
      </c>
      <c r="C13">
        <v>29198</v>
      </c>
      <c r="D13" t="s">
        <v>31</v>
      </c>
      <c r="E13" t="s">
        <v>57</v>
      </c>
    </row>
    <row r="14" spans="1:5" x14ac:dyDescent="0.25">
      <c r="A14" s="6">
        <v>44712</v>
      </c>
      <c r="B14" t="s">
        <v>48</v>
      </c>
      <c r="C14">
        <v>992</v>
      </c>
      <c r="D14" t="s">
        <v>29</v>
      </c>
      <c r="E14" t="s">
        <v>59</v>
      </c>
    </row>
    <row r="15" spans="1:5" x14ac:dyDescent="0.25">
      <c r="A15" s="6">
        <v>44712</v>
      </c>
      <c r="B15" t="s">
        <v>49</v>
      </c>
      <c r="C15">
        <v>18692</v>
      </c>
      <c r="D15" t="s">
        <v>30</v>
      </c>
      <c r="E15" t="s">
        <v>58</v>
      </c>
    </row>
    <row r="16" spans="1:5" x14ac:dyDescent="0.25">
      <c r="A16" s="6">
        <v>44712</v>
      </c>
      <c r="B16" t="s">
        <v>50</v>
      </c>
      <c r="C16">
        <v>44807</v>
      </c>
      <c r="D16" t="s">
        <v>31</v>
      </c>
      <c r="E16" t="s">
        <v>57</v>
      </c>
    </row>
    <row r="17" spans="1:5" x14ac:dyDescent="0.25">
      <c r="A17" s="6">
        <v>44742</v>
      </c>
      <c r="B17" t="s">
        <v>48</v>
      </c>
      <c r="C17">
        <v>1525</v>
      </c>
      <c r="D17" t="s">
        <v>29</v>
      </c>
      <c r="E17" t="s">
        <v>59</v>
      </c>
    </row>
    <row r="18" spans="1:5" x14ac:dyDescent="0.25">
      <c r="A18" s="6">
        <v>44742</v>
      </c>
      <c r="B18" t="s">
        <v>49</v>
      </c>
      <c r="C18">
        <v>13144</v>
      </c>
      <c r="D18" t="s">
        <v>30</v>
      </c>
      <c r="E18" t="s">
        <v>58</v>
      </c>
    </row>
    <row r="19" spans="1:5" x14ac:dyDescent="0.25">
      <c r="A19" s="6">
        <v>44742</v>
      </c>
      <c r="B19" t="s">
        <v>50</v>
      </c>
      <c r="C19">
        <v>37015</v>
      </c>
      <c r="D19" t="s">
        <v>31</v>
      </c>
      <c r="E19" t="s">
        <v>57</v>
      </c>
    </row>
    <row r="20" spans="1:5" x14ac:dyDescent="0.25">
      <c r="A20" s="6">
        <v>44773</v>
      </c>
      <c r="B20" t="s">
        <v>48</v>
      </c>
      <c r="C20">
        <v>2234</v>
      </c>
      <c r="D20" t="s">
        <v>29</v>
      </c>
      <c r="E20" t="s">
        <v>59</v>
      </c>
    </row>
    <row r="21" spans="1:5" x14ac:dyDescent="0.25">
      <c r="A21" s="6">
        <v>44773</v>
      </c>
      <c r="B21" t="s">
        <v>49</v>
      </c>
      <c r="C21">
        <v>14324</v>
      </c>
      <c r="D21" t="s">
        <v>30</v>
      </c>
      <c r="E21" t="s">
        <v>58</v>
      </c>
    </row>
    <row r="22" spans="1:5" x14ac:dyDescent="0.25">
      <c r="A22" s="6">
        <v>44773</v>
      </c>
      <c r="B22" t="s">
        <v>50</v>
      </c>
      <c r="C22">
        <v>47544</v>
      </c>
      <c r="D22" t="s">
        <v>31</v>
      </c>
      <c r="E22" t="s">
        <v>57</v>
      </c>
    </row>
    <row r="23" spans="1:5" x14ac:dyDescent="0.25">
      <c r="A23" s="6">
        <v>44804</v>
      </c>
      <c r="B23" t="s">
        <v>48</v>
      </c>
      <c r="C23">
        <v>4654</v>
      </c>
      <c r="D23" t="s">
        <v>29</v>
      </c>
      <c r="E23" t="s">
        <v>59</v>
      </c>
    </row>
    <row r="24" spans="1:5" x14ac:dyDescent="0.25">
      <c r="A24" s="6">
        <v>44804</v>
      </c>
      <c r="B24" t="s">
        <v>49</v>
      </c>
      <c r="C24">
        <v>12401</v>
      </c>
      <c r="D24" t="s">
        <v>30</v>
      </c>
      <c r="E24" t="s">
        <v>58</v>
      </c>
    </row>
    <row r="25" spans="1:5" x14ac:dyDescent="0.25">
      <c r="A25" s="6">
        <v>44804</v>
      </c>
      <c r="B25" t="s">
        <v>50</v>
      </c>
      <c r="C25">
        <v>40308</v>
      </c>
      <c r="D25" t="s">
        <v>31</v>
      </c>
      <c r="E25" t="s">
        <v>57</v>
      </c>
    </row>
    <row r="26" spans="1:5" x14ac:dyDescent="0.25">
      <c r="A26" s="6">
        <v>44834</v>
      </c>
      <c r="B26" t="s">
        <v>48</v>
      </c>
      <c r="C26">
        <v>4612</v>
      </c>
      <c r="D26" t="s">
        <v>29</v>
      </c>
      <c r="E26" t="s">
        <v>59</v>
      </c>
    </row>
    <row r="27" spans="1:5" x14ac:dyDescent="0.25">
      <c r="A27" s="6">
        <v>44834</v>
      </c>
      <c r="B27" t="s">
        <v>49</v>
      </c>
      <c r="C27">
        <v>13229</v>
      </c>
      <c r="D27" t="s">
        <v>30</v>
      </c>
      <c r="E27" t="s">
        <v>58</v>
      </c>
    </row>
    <row r="28" spans="1:5" x14ac:dyDescent="0.25">
      <c r="A28" s="6">
        <v>44834</v>
      </c>
      <c r="B28" t="s">
        <v>50</v>
      </c>
      <c r="C28">
        <v>25569</v>
      </c>
      <c r="D28" t="s">
        <v>31</v>
      </c>
      <c r="E28" t="s">
        <v>57</v>
      </c>
    </row>
    <row r="29" spans="1:5" x14ac:dyDescent="0.25">
      <c r="A29" s="6">
        <v>44865</v>
      </c>
      <c r="B29" t="s">
        <v>48</v>
      </c>
      <c r="C29">
        <v>4878</v>
      </c>
      <c r="D29" t="s">
        <v>29</v>
      </c>
      <c r="E29" t="s">
        <v>59</v>
      </c>
    </row>
    <row r="30" spans="1:5" x14ac:dyDescent="0.25">
      <c r="A30" s="6">
        <v>44865</v>
      </c>
      <c r="B30" t="s">
        <v>49</v>
      </c>
      <c r="C30">
        <v>14206</v>
      </c>
      <c r="D30" t="s">
        <v>30</v>
      </c>
      <c r="E30" t="s">
        <v>58</v>
      </c>
    </row>
    <row r="31" spans="1:5" x14ac:dyDescent="0.25">
      <c r="A31" s="6">
        <v>44865</v>
      </c>
      <c r="B31" t="s">
        <v>50</v>
      </c>
      <c r="C31">
        <v>44009</v>
      </c>
      <c r="D31" t="s">
        <v>31</v>
      </c>
      <c r="E31" t="s">
        <v>57</v>
      </c>
    </row>
    <row r="32" spans="1:5" x14ac:dyDescent="0.25">
      <c r="A32" s="6">
        <v>44895</v>
      </c>
      <c r="B32" t="s">
        <v>48</v>
      </c>
      <c r="C32">
        <v>4255</v>
      </c>
      <c r="D32" t="s">
        <v>29</v>
      </c>
      <c r="E32" t="s">
        <v>59</v>
      </c>
    </row>
    <row r="33" spans="1:5" x14ac:dyDescent="0.25">
      <c r="A33" s="6">
        <v>44895</v>
      </c>
      <c r="B33" t="s">
        <v>49</v>
      </c>
      <c r="C33">
        <v>14203</v>
      </c>
      <c r="D33" t="s">
        <v>30</v>
      </c>
      <c r="E33" t="s">
        <v>58</v>
      </c>
    </row>
    <row r="34" spans="1:5" x14ac:dyDescent="0.25">
      <c r="A34" s="6">
        <v>44895</v>
      </c>
      <c r="B34" t="s">
        <v>50</v>
      </c>
      <c r="C34">
        <v>29044</v>
      </c>
      <c r="D34" t="s">
        <v>31</v>
      </c>
      <c r="E34" t="s">
        <v>57</v>
      </c>
    </row>
    <row r="35" spans="1:5" x14ac:dyDescent="0.25">
      <c r="A35" s="6">
        <v>44926</v>
      </c>
      <c r="B35" t="s">
        <v>48</v>
      </c>
      <c r="C35">
        <v>1343</v>
      </c>
      <c r="D35" t="s">
        <v>29</v>
      </c>
      <c r="E35" t="s">
        <v>59</v>
      </c>
    </row>
    <row r="36" spans="1:5" x14ac:dyDescent="0.25">
      <c r="A36" s="6">
        <v>44926</v>
      </c>
      <c r="B36" t="s">
        <v>49</v>
      </c>
      <c r="C36">
        <v>9100</v>
      </c>
      <c r="D36" t="s">
        <v>30</v>
      </c>
      <c r="E36" t="s">
        <v>58</v>
      </c>
    </row>
    <row r="37" spans="1:5" x14ac:dyDescent="0.25">
      <c r="A37" s="6">
        <v>44926</v>
      </c>
      <c r="B37" t="s">
        <v>50</v>
      </c>
      <c r="C37">
        <v>29983</v>
      </c>
      <c r="D37" t="s">
        <v>31</v>
      </c>
      <c r="E37" t="s">
        <v>57</v>
      </c>
    </row>
    <row r="38" spans="1:5" x14ac:dyDescent="0.25">
      <c r="A38" s="6"/>
    </row>
    <row r="39" spans="1:5" x14ac:dyDescent="0.25">
      <c r="A39" s="6"/>
    </row>
    <row r="40" spans="1:5" x14ac:dyDescent="0.25">
      <c r="A40" s="6"/>
    </row>
    <row r="41" spans="1:5" x14ac:dyDescent="0.25">
      <c r="A41" s="6"/>
    </row>
    <row r="42" spans="1:5" x14ac:dyDescent="0.25">
      <c r="A42" s="6"/>
    </row>
    <row r="43" spans="1:5" x14ac:dyDescent="0.25">
      <c r="A43" s="6"/>
    </row>
    <row r="44" spans="1:5" x14ac:dyDescent="0.25">
      <c r="A44" s="6"/>
    </row>
    <row r="45" spans="1:5" x14ac:dyDescent="0.25">
      <c r="A45" s="6"/>
    </row>
    <row r="46" spans="1:5" x14ac:dyDescent="0.25">
      <c r="A46" s="6"/>
    </row>
    <row r="47" spans="1:5" x14ac:dyDescent="0.25">
      <c r="A47" s="6"/>
    </row>
    <row r="48" spans="1:5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55AB8-EACC-40C1-97CE-3F1C2EBC6493}">
  <sheetPr codeName="Sheet14"/>
  <dimension ref="A1:E133"/>
  <sheetViews>
    <sheetView workbookViewId="0"/>
  </sheetViews>
  <sheetFormatPr defaultRowHeight="15" x14ac:dyDescent="0.25"/>
  <cols>
    <col min="1" max="1" width="10.42578125" bestFit="1" customWidth="1"/>
    <col min="2" max="2" width="7.42578125" bestFit="1" customWidth="1"/>
    <col min="3" max="3" width="6" bestFit="1" customWidth="1"/>
    <col min="4" max="4" width="9.7109375" bestFit="1" customWidth="1"/>
    <col min="5" max="5" width="12" bestFit="1" customWidth="1"/>
  </cols>
  <sheetData>
    <row r="1" spans="1:5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</row>
    <row r="2" spans="1:5" x14ac:dyDescent="0.25">
      <c r="A2" s="6">
        <v>44592</v>
      </c>
      <c r="B2" t="s">
        <v>48</v>
      </c>
      <c r="C2">
        <v>50</v>
      </c>
      <c r="D2" t="s">
        <v>29</v>
      </c>
      <c r="E2" t="s">
        <v>59</v>
      </c>
    </row>
    <row r="3" spans="1:5" x14ac:dyDescent="0.25">
      <c r="A3" s="6">
        <v>44592</v>
      </c>
      <c r="B3" t="s">
        <v>49</v>
      </c>
      <c r="C3">
        <v>50</v>
      </c>
      <c r="D3" t="s">
        <v>30</v>
      </c>
      <c r="E3" t="s">
        <v>58</v>
      </c>
    </row>
    <row r="4" spans="1:5" x14ac:dyDescent="0.25">
      <c r="A4" s="6">
        <v>44592</v>
      </c>
      <c r="B4" t="s">
        <v>50</v>
      </c>
      <c r="C4">
        <v>50</v>
      </c>
      <c r="D4" t="s">
        <v>31</v>
      </c>
      <c r="E4" t="s">
        <v>57</v>
      </c>
    </row>
    <row r="5" spans="1:5" x14ac:dyDescent="0.25">
      <c r="A5" s="6">
        <v>44620</v>
      </c>
      <c r="B5" t="s">
        <v>48</v>
      </c>
      <c r="C5">
        <v>1269</v>
      </c>
      <c r="D5" t="s">
        <v>29</v>
      </c>
      <c r="E5" t="s">
        <v>59</v>
      </c>
    </row>
    <row r="6" spans="1:5" x14ac:dyDescent="0.25">
      <c r="A6" s="6">
        <v>44620</v>
      </c>
      <c r="B6" t="s">
        <v>49</v>
      </c>
      <c r="C6">
        <v>5594</v>
      </c>
      <c r="D6" t="s">
        <v>30</v>
      </c>
      <c r="E6" t="s">
        <v>58</v>
      </c>
    </row>
    <row r="7" spans="1:5" x14ac:dyDescent="0.25">
      <c r="A7" s="6">
        <v>44620</v>
      </c>
      <c r="B7" t="s">
        <v>50</v>
      </c>
      <c r="C7">
        <v>41962</v>
      </c>
      <c r="D7" t="s">
        <v>31</v>
      </c>
      <c r="E7" t="s">
        <v>57</v>
      </c>
    </row>
    <row r="8" spans="1:5" x14ac:dyDescent="0.25">
      <c r="A8" s="6">
        <v>44651</v>
      </c>
      <c r="B8" t="s">
        <v>48</v>
      </c>
      <c r="C8">
        <v>4542</v>
      </c>
      <c r="D8" t="s">
        <v>29</v>
      </c>
      <c r="E8" t="s">
        <v>59</v>
      </c>
    </row>
    <row r="9" spans="1:5" x14ac:dyDescent="0.25">
      <c r="A9" s="6">
        <v>44651</v>
      </c>
      <c r="B9" t="s">
        <v>49</v>
      </c>
      <c r="C9">
        <v>8998</v>
      </c>
      <c r="D9" t="s">
        <v>30</v>
      </c>
      <c r="E9" t="s">
        <v>58</v>
      </c>
    </row>
    <row r="10" spans="1:5" x14ac:dyDescent="0.25">
      <c r="A10" s="6">
        <v>44651</v>
      </c>
      <c r="B10" t="s">
        <v>50</v>
      </c>
      <c r="C10">
        <v>20086</v>
      </c>
      <c r="D10" t="s">
        <v>31</v>
      </c>
      <c r="E10" t="s">
        <v>57</v>
      </c>
    </row>
    <row r="11" spans="1:5" x14ac:dyDescent="0.25">
      <c r="A11" s="6">
        <v>44681</v>
      </c>
      <c r="B11" t="s">
        <v>48</v>
      </c>
      <c r="C11">
        <v>4694</v>
      </c>
      <c r="D11" t="s">
        <v>29</v>
      </c>
      <c r="E11" t="s">
        <v>59</v>
      </c>
    </row>
    <row r="12" spans="1:5" x14ac:dyDescent="0.25">
      <c r="A12" s="6">
        <v>44681</v>
      </c>
      <c r="B12" t="s">
        <v>49</v>
      </c>
      <c r="C12">
        <v>16547</v>
      </c>
      <c r="D12" t="s">
        <v>30</v>
      </c>
      <c r="E12" t="s">
        <v>58</v>
      </c>
    </row>
    <row r="13" spans="1:5" x14ac:dyDescent="0.25">
      <c r="A13" s="6">
        <v>44681</v>
      </c>
      <c r="B13" t="s">
        <v>50</v>
      </c>
      <c r="C13">
        <v>29198</v>
      </c>
      <c r="D13" t="s">
        <v>31</v>
      </c>
      <c r="E13" t="s">
        <v>57</v>
      </c>
    </row>
    <row r="14" spans="1:5" x14ac:dyDescent="0.25">
      <c r="A14" s="6">
        <v>44712</v>
      </c>
      <c r="B14" t="s">
        <v>48</v>
      </c>
      <c r="C14">
        <v>992</v>
      </c>
      <c r="D14" t="s">
        <v>29</v>
      </c>
      <c r="E14" t="s">
        <v>59</v>
      </c>
    </row>
    <row r="15" spans="1:5" x14ac:dyDescent="0.25">
      <c r="A15" s="6">
        <v>44712</v>
      </c>
      <c r="B15" t="s">
        <v>49</v>
      </c>
      <c r="C15">
        <v>18692</v>
      </c>
      <c r="D15" t="s">
        <v>30</v>
      </c>
      <c r="E15" t="s">
        <v>58</v>
      </c>
    </row>
    <row r="16" spans="1:5" x14ac:dyDescent="0.25">
      <c r="A16" s="6">
        <v>44712</v>
      </c>
      <c r="B16" t="s">
        <v>50</v>
      </c>
      <c r="C16">
        <v>44807</v>
      </c>
      <c r="D16" t="s">
        <v>31</v>
      </c>
      <c r="E16" t="s">
        <v>57</v>
      </c>
    </row>
    <row r="17" spans="1:5" x14ac:dyDescent="0.25">
      <c r="A17" s="6">
        <v>44742</v>
      </c>
      <c r="B17" t="s">
        <v>48</v>
      </c>
      <c r="C17">
        <v>1525</v>
      </c>
      <c r="D17" t="s">
        <v>29</v>
      </c>
      <c r="E17" t="s">
        <v>59</v>
      </c>
    </row>
    <row r="18" spans="1:5" x14ac:dyDescent="0.25">
      <c r="A18" s="6">
        <v>44742</v>
      </c>
      <c r="B18" t="s">
        <v>49</v>
      </c>
      <c r="C18">
        <v>13144</v>
      </c>
      <c r="D18" t="s">
        <v>30</v>
      </c>
      <c r="E18" t="s">
        <v>58</v>
      </c>
    </row>
    <row r="19" spans="1:5" x14ac:dyDescent="0.25">
      <c r="A19" s="6">
        <v>44742</v>
      </c>
      <c r="B19" t="s">
        <v>50</v>
      </c>
      <c r="C19">
        <v>37015</v>
      </c>
      <c r="D19" t="s">
        <v>31</v>
      </c>
      <c r="E19" t="s">
        <v>57</v>
      </c>
    </row>
    <row r="20" spans="1:5" x14ac:dyDescent="0.25">
      <c r="A20" s="6">
        <v>44773</v>
      </c>
      <c r="B20" t="s">
        <v>48</v>
      </c>
      <c r="C20">
        <v>2234</v>
      </c>
      <c r="D20" t="s">
        <v>29</v>
      </c>
      <c r="E20" t="s">
        <v>59</v>
      </c>
    </row>
    <row r="21" spans="1:5" x14ac:dyDescent="0.25">
      <c r="A21" s="6">
        <v>44773</v>
      </c>
      <c r="B21" t="s">
        <v>49</v>
      </c>
      <c r="C21">
        <v>14324</v>
      </c>
      <c r="D21" t="s">
        <v>30</v>
      </c>
      <c r="E21" t="s">
        <v>58</v>
      </c>
    </row>
    <row r="22" spans="1:5" x14ac:dyDescent="0.25">
      <c r="A22" s="6">
        <v>44773</v>
      </c>
      <c r="B22" t="s">
        <v>50</v>
      </c>
      <c r="C22">
        <v>47544</v>
      </c>
      <c r="D22" t="s">
        <v>31</v>
      </c>
      <c r="E22" t="s">
        <v>57</v>
      </c>
    </row>
    <row r="23" spans="1:5" x14ac:dyDescent="0.25">
      <c r="A23" s="6">
        <v>44804</v>
      </c>
      <c r="B23" t="s">
        <v>48</v>
      </c>
      <c r="C23">
        <v>4654</v>
      </c>
      <c r="D23" t="s">
        <v>29</v>
      </c>
      <c r="E23" t="s">
        <v>59</v>
      </c>
    </row>
    <row r="24" spans="1:5" x14ac:dyDescent="0.25">
      <c r="A24" s="6">
        <v>44804</v>
      </c>
      <c r="B24" t="s">
        <v>49</v>
      </c>
      <c r="C24">
        <v>12401</v>
      </c>
      <c r="D24" t="s">
        <v>30</v>
      </c>
      <c r="E24" t="s">
        <v>58</v>
      </c>
    </row>
    <row r="25" spans="1:5" x14ac:dyDescent="0.25">
      <c r="A25" s="6">
        <v>44804</v>
      </c>
      <c r="B25" t="s">
        <v>50</v>
      </c>
      <c r="C25">
        <v>40308</v>
      </c>
      <c r="D25" t="s">
        <v>31</v>
      </c>
      <c r="E25" t="s">
        <v>57</v>
      </c>
    </row>
    <row r="26" spans="1:5" x14ac:dyDescent="0.25">
      <c r="A26" s="6">
        <v>44834</v>
      </c>
      <c r="B26" t="s">
        <v>48</v>
      </c>
      <c r="C26">
        <v>4612</v>
      </c>
      <c r="D26" t="s">
        <v>29</v>
      </c>
      <c r="E26" t="s">
        <v>59</v>
      </c>
    </row>
    <row r="27" spans="1:5" x14ac:dyDescent="0.25">
      <c r="A27" s="6">
        <v>44834</v>
      </c>
      <c r="B27" t="s">
        <v>49</v>
      </c>
      <c r="C27">
        <v>13229</v>
      </c>
      <c r="D27" t="s">
        <v>30</v>
      </c>
      <c r="E27" t="s">
        <v>58</v>
      </c>
    </row>
    <row r="28" spans="1:5" x14ac:dyDescent="0.25">
      <c r="A28" s="6">
        <v>44834</v>
      </c>
      <c r="B28" t="s">
        <v>50</v>
      </c>
      <c r="C28">
        <v>25569</v>
      </c>
      <c r="D28" t="s">
        <v>31</v>
      </c>
      <c r="E28" t="s">
        <v>57</v>
      </c>
    </row>
    <row r="29" spans="1:5" x14ac:dyDescent="0.25">
      <c r="A29" s="6">
        <v>44865</v>
      </c>
      <c r="B29" t="s">
        <v>48</v>
      </c>
      <c r="C29">
        <v>4878</v>
      </c>
      <c r="D29" t="s">
        <v>29</v>
      </c>
      <c r="E29" t="s">
        <v>59</v>
      </c>
    </row>
    <row r="30" spans="1:5" x14ac:dyDescent="0.25">
      <c r="A30" s="6">
        <v>44865</v>
      </c>
      <c r="B30" t="s">
        <v>49</v>
      </c>
      <c r="C30">
        <v>14206</v>
      </c>
      <c r="D30" t="s">
        <v>30</v>
      </c>
      <c r="E30" t="s">
        <v>58</v>
      </c>
    </row>
    <row r="31" spans="1:5" x14ac:dyDescent="0.25">
      <c r="A31" s="6">
        <v>44865</v>
      </c>
      <c r="B31" t="s">
        <v>50</v>
      </c>
      <c r="C31">
        <v>44009</v>
      </c>
      <c r="D31" t="s">
        <v>31</v>
      </c>
      <c r="E31" t="s">
        <v>57</v>
      </c>
    </row>
    <row r="32" spans="1:5" x14ac:dyDescent="0.25">
      <c r="A32" s="6">
        <v>44895</v>
      </c>
      <c r="B32" t="s">
        <v>48</v>
      </c>
      <c r="C32">
        <v>4255</v>
      </c>
      <c r="D32" t="s">
        <v>29</v>
      </c>
      <c r="E32" t="s">
        <v>59</v>
      </c>
    </row>
    <row r="33" spans="1:5" x14ac:dyDescent="0.25">
      <c r="A33" s="6">
        <v>44895</v>
      </c>
      <c r="B33" t="s">
        <v>49</v>
      </c>
      <c r="C33">
        <v>14203</v>
      </c>
      <c r="D33" t="s">
        <v>30</v>
      </c>
      <c r="E33" t="s">
        <v>58</v>
      </c>
    </row>
    <row r="34" spans="1:5" x14ac:dyDescent="0.25">
      <c r="A34" s="6">
        <v>44895</v>
      </c>
      <c r="B34" t="s">
        <v>50</v>
      </c>
      <c r="C34">
        <v>29044</v>
      </c>
      <c r="D34" t="s">
        <v>31</v>
      </c>
      <c r="E34" t="s">
        <v>57</v>
      </c>
    </row>
    <row r="35" spans="1:5" x14ac:dyDescent="0.25">
      <c r="A35" s="6">
        <v>44926</v>
      </c>
      <c r="B35" t="s">
        <v>48</v>
      </c>
      <c r="C35">
        <v>1343</v>
      </c>
      <c r="D35" t="s">
        <v>29</v>
      </c>
      <c r="E35" t="s">
        <v>59</v>
      </c>
    </row>
    <row r="36" spans="1:5" x14ac:dyDescent="0.25">
      <c r="A36" s="6">
        <v>44926</v>
      </c>
      <c r="B36" t="s">
        <v>49</v>
      </c>
      <c r="C36">
        <v>9100</v>
      </c>
      <c r="D36" t="s">
        <v>30</v>
      </c>
      <c r="E36" t="s">
        <v>58</v>
      </c>
    </row>
    <row r="37" spans="1:5" x14ac:dyDescent="0.25">
      <c r="A37" s="6">
        <v>44926</v>
      </c>
      <c r="B37" t="s">
        <v>50</v>
      </c>
      <c r="C37">
        <v>29983</v>
      </c>
      <c r="D37" t="s">
        <v>31</v>
      </c>
      <c r="E37" t="s">
        <v>57</v>
      </c>
    </row>
    <row r="38" spans="1:5" x14ac:dyDescent="0.25">
      <c r="A38" s="6"/>
    </row>
    <row r="39" spans="1:5" x14ac:dyDescent="0.25">
      <c r="A39" s="6"/>
    </row>
    <row r="40" spans="1:5" x14ac:dyDescent="0.25">
      <c r="A40" s="6"/>
    </row>
    <row r="41" spans="1:5" x14ac:dyDescent="0.25">
      <c r="A41" s="6"/>
    </row>
    <row r="42" spans="1:5" x14ac:dyDescent="0.25">
      <c r="A42" s="6"/>
    </row>
    <row r="43" spans="1:5" x14ac:dyDescent="0.25">
      <c r="A43" s="6"/>
    </row>
    <row r="44" spans="1:5" x14ac:dyDescent="0.25">
      <c r="A44" s="6"/>
    </row>
    <row r="45" spans="1:5" x14ac:dyDescent="0.25">
      <c r="A45" s="6"/>
    </row>
    <row r="46" spans="1:5" x14ac:dyDescent="0.25">
      <c r="A46" s="6"/>
    </row>
    <row r="47" spans="1:5" x14ac:dyDescent="0.25">
      <c r="A47" s="6"/>
    </row>
    <row r="48" spans="1:5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68481-2D68-424D-9550-50ECB95089C9}">
  <sheetPr codeName="Sheet19"/>
  <dimension ref="A1:E133"/>
  <sheetViews>
    <sheetView workbookViewId="0">
      <selection activeCell="K20" sqref="K20"/>
    </sheetView>
  </sheetViews>
  <sheetFormatPr defaultRowHeight="15" x14ac:dyDescent="0.25"/>
  <cols>
    <col min="1" max="1" width="10.42578125" bestFit="1" customWidth="1"/>
    <col min="2" max="2" width="7.42578125" bestFit="1" customWidth="1"/>
    <col min="3" max="3" width="6" bestFit="1" customWidth="1"/>
    <col min="4" max="4" width="9.7109375" bestFit="1" customWidth="1"/>
    <col min="5" max="5" width="12" bestFit="1" customWidth="1"/>
  </cols>
  <sheetData>
    <row r="1" spans="1:5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</row>
    <row r="2" spans="1:5" x14ac:dyDescent="0.25">
      <c r="A2" s="6">
        <v>44592</v>
      </c>
      <c r="B2" t="s">
        <v>48</v>
      </c>
      <c r="C2">
        <v>2699</v>
      </c>
      <c r="D2" t="s">
        <v>29</v>
      </c>
      <c r="E2" t="s">
        <v>59</v>
      </c>
    </row>
    <row r="3" spans="1:5" x14ac:dyDescent="0.25">
      <c r="A3" s="6">
        <v>44592</v>
      </c>
      <c r="B3" t="s">
        <v>49</v>
      </c>
      <c r="C3">
        <v>12605</v>
      </c>
      <c r="D3" t="s">
        <v>30</v>
      </c>
      <c r="E3" t="s">
        <v>58</v>
      </c>
    </row>
    <row r="4" spans="1:5" x14ac:dyDescent="0.25">
      <c r="A4" s="6">
        <v>44592</v>
      </c>
      <c r="B4" t="s">
        <v>50</v>
      </c>
      <c r="C4">
        <v>48123</v>
      </c>
      <c r="D4" t="s">
        <v>31</v>
      </c>
      <c r="E4" t="s">
        <v>57</v>
      </c>
    </row>
    <row r="5" spans="1:5" x14ac:dyDescent="0.25">
      <c r="A5" s="6">
        <v>44620</v>
      </c>
      <c r="B5" t="s">
        <v>48</v>
      </c>
      <c r="C5">
        <v>1269</v>
      </c>
      <c r="D5" t="s">
        <v>29</v>
      </c>
      <c r="E5" t="s">
        <v>59</v>
      </c>
    </row>
    <row r="6" spans="1:5" x14ac:dyDescent="0.25">
      <c r="A6" s="6">
        <v>44620</v>
      </c>
      <c r="B6" t="s">
        <v>49</v>
      </c>
      <c r="C6">
        <v>5594</v>
      </c>
      <c r="D6" t="s">
        <v>30</v>
      </c>
      <c r="E6" t="s">
        <v>58</v>
      </c>
    </row>
    <row r="7" spans="1:5" x14ac:dyDescent="0.25">
      <c r="A7" s="6">
        <v>44620</v>
      </c>
      <c r="B7" t="s">
        <v>50</v>
      </c>
      <c r="C7">
        <v>41962</v>
      </c>
      <c r="D7" t="s">
        <v>31</v>
      </c>
      <c r="E7" t="s">
        <v>57</v>
      </c>
    </row>
    <row r="8" spans="1:5" x14ac:dyDescent="0.25">
      <c r="A8" s="6">
        <v>44651</v>
      </c>
      <c r="B8" t="s">
        <v>48</v>
      </c>
      <c r="C8">
        <v>4542</v>
      </c>
      <c r="D8" t="s">
        <v>29</v>
      </c>
      <c r="E8" t="s">
        <v>59</v>
      </c>
    </row>
    <row r="9" spans="1:5" x14ac:dyDescent="0.25">
      <c r="A9" s="6">
        <v>44651</v>
      </c>
      <c r="B9" t="s">
        <v>49</v>
      </c>
      <c r="C9">
        <v>8998</v>
      </c>
      <c r="D9" t="s">
        <v>30</v>
      </c>
      <c r="E9" t="s">
        <v>58</v>
      </c>
    </row>
    <row r="10" spans="1:5" x14ac:dyDescent="0.25">
      <c r="A10" s="6">
        <v>44651</v>
      </c>
      <c r="B10" t="s">
        <v>50</v>
      </c>
      <c r="C10">
        <v>20086</v>
      </c>
      <c r="D10" t="s">
        <v>31</v>
      </c>
      <c r="E10" t="s">
        <v>57</v>
      </c>
    </row>
    <row r="11" spans="1:5" x14ac:dyDescent="0.25">
      <c r="A11" s="6">
        <v>44681</v>
      </c>
      <c r="B11" t="s">
        <v>48</v>
      </c>
      <c r="C11">
        <v>4694</v>
      </c>
      <c r="D11" t="s">
        <v>29</v>
      </c>
      <c r="E11" t="s">
        <v>59</v>
      </c>
    </row>
    <row r="12" spans="1:5" x14ac:dyDescent="0.25">
      <c r="A12" s="6">
        <v>44681</v>
      </c>
      <c r="B12" t="s">
        <v>49</v>
      </c>
      <c r="C12">
        <v>16547</v>
      </c>
      <c r="D12" t="s">
        <v>30</v>
      </c>
      <c r="E12" t="s">
        <v>58</v>
      </c>
    </row>
    <row r="13" spans="1:5" x14ac:dyDescent="0.25">
      <c r="A13" s="6">
        <v>44681</v>
      </c>
      <c r="B13" t="s">
        <v>50</v>
      </c>
      <c r="C13">
        <v>29198</v>
      </c>
      <c r="D13" t="s">
        <v>31</v>
      </c>
      <c r="E13" t="s">
        <v>57</v>
      </c>
    </row>
    <row r="14" spans="1:5" x14ac:dyDescent="0.25">
      <c r="A14" s="6">
        <v>44712</v>
      </c>
      <c r="B14" t="s">
        <v>48</v>
      </c>
      <c r="C14">
        <v>992</v>
      </c>
      <c r="D14" t="s">
        <v>29</v>
      </c>
      <c r="E14" t="s">
        <v>59</v>
      </c>
    </row>
    <row r="15" spans="1:5" x14ac:dyDescent="0.25">
      <c r="A15" s="6">
        <v>44712</v>
      </c>
      <c r="B15" t="s">
        <v>49</v>
      </c>
      <c r="C15">
        <v>18692</v>
      </c>
      <c r="D15" t="s">
        <v>30</v>
      </c>
      <c r="E15" t="s">
        <v>58</v>
      </c>
    </row>
    <row r="16" spans="1:5" x14ac:dyDescent="0.25">
      <c r="A16" s="6">
        <v>44712</v>
      </c>
      <c r="B16" t="s">
        <v>50</v>
      </c>
      <c r="C16">
        <v>44807</v>
      </c>
      <c r="D16" t="s">
        <v>31</v>
      </c>
      <c r="E16" t="s">
        <v>57</v>
      </c>
    </row>
    <row r="17" spans="1:5" x14ac:dyDescent="0.25">
      <c r="A17" s="6">
        <v>44742</v>
      </c>
      <c r="B17" t="s">
        <v>48</v>
      </c>
      <c r="C17">
        <v>1525</v>
      </c>
      <c r="D17" t="s">
        <v>29</v>
      </c>
      <c r="E17" t="s">
        <v>59</v>
      </c>
    </row>
    <row r="18" spans="1:5" x14ac:dyDescent="0.25">
      <c r="A18" s="6">
        <v>44742</v>
      </c>
      <c r="B18" t="s">
        <v>49</v>
      </c>
      <c r="C18">
        <v>13144</v>
      </c>
      <c r="D18" t="s">
        <v>30</v>
      </c>
      <c r="E18" t="s">
        <v>58</v>
      </c>
    </row>
    <row r="19" spans="1:5" x14ac:dyDescent="0.25">
      <c r="A19" s="6">
        <v>44742</v>
      </c>
      <c r="B19" t="s">
        <v>50</v>
      </c>
      <c r="C19">
        <v>37015</v>
      </c>
      <c r="D19" t="s">
        <v>31</v>
      </c>
      <c r="E19" t="s">
        <v>57</v>
      </c>
    </row>
    <row r="20" spans="1:5" x14ac:dyDescent="0.25">
      <c r="A20" s="6">
        <v>44773</v>
      </c>
      <c r="B20" t="s">
        <v>48</v>
      </c>
      <c r="C20">
        <v>2234</v>
      </c>
      <c r="D20" t="s">
        <v>29</v>
      </c>
      <c r="E20" t="s">
        <v>59</v>
      </c>
    </row>
    <row r="21" spans="1:5" x14ac:dyDescent="0.25">
      <c r="A21" s="6">
        <v>44773</v>
      </c>
      <c r="B21" t="s">
        <v>49</v>
      </c>
      <c r="C21">
        <v>14324</v>
      </c>
      <c r="D21" t="s">
        <v>30</v>
      </c>
      <c r="E21" t="s">
        <v>58</v>
      </c>
    </row>
    <row r="22" spans="1:5" x14ac:dyDescent="0.25">
      <c r="A22" s="6">
        <v>44773</v>
      </c>
      <c r="B22" t="s">
        <v>50</v>
      </c>
      <c r="C22">
        <v>47544</v>
      </c>
      <c r="D22" t="s">
        <v>31</v>
      </c>
      <c r="E22" t="s">
        <v>57</v>
      </c>
    </row>
    <row r="23" spans="1:5" x14ac:dyDescent="0.25">
      <c r="A23" s="6">
        <v>44804</v>
      </c>
      <c r="B23" t="s">
        <v>48</v>
      </c>
      <c r="C23">
        <v>4654</v>
      </c>
      <c r="D23" t="s">
        <v>29</v>
      </c>
      <c r="E23" t="s">
        <v>59</v>
      </c>
    </row>
    <row r="24" spans="1:5" x14ac:dyDescent="0.25">
      <c r="A24" s="6">
        <v>44804</v>
      </c>
      <c r="B24" t="s">
        <v>49</v>
      </c>
      <c r="C24">
        <v>12401</v>
      </c>
      <c r="D24" t="s">
        <v>30</v>
      </c>
      <c r="E24" t="s">
        <v>58</v>
      </c>
    </row>
    <row r="25" spans="1:5" x14ac:dyDescent="0.25">
      <c r="A25" s="6">
        <v>44804</v>
      </c>
      <c r="B25" t="s">
        <v>50</v>
      </c>
      <c r="C25">
        <v>40308</v>
      </c>
      <c r="D25" t="s">
        <v>31</v>
      </c>
      <c r="E25" t="s">
        <v>57</v>
      </c>
    </row>
    <row r="26" spans="1:5" x14ac:dyDescent="0.25">
      <c r="A26" s="6">
        <v>44834</v>
      </c>
      <c r="B26" t="s">
        <v>48</v>
      </c>
      <c r="C26">
        <v>4612</v>
      </c>
      <c r="D26" t="s">
        <v>29</v>
      </c>
      <c r="E26" t="s">
        <v>59</v>
      </c>
    </row>
    <row r="27" spans="1:5" x14ac:dyDescent="0.25">
      <c r="A27" s="6">
        <v>44834</v>
      </c>
      <c r="B27" t="s">
        <v>49</v>
      </c>
      <c r="C27">
        <v>13229</v>
      </c>
      <c r="D27" t="s">
        <v>30</v>
      </c>
      <c r="E27" t="s">
        <v>58</v>
      </c>
    </row>
    <row r="28" spans="1:5" x14ac:dyDescent="0.25">
      <c r="A28" s="6">
        <v>44834</v>
      </c>
      <c r="B28" t="s">
        <v>50</v>
      </c>
      <c r="C28">
        <v>25569</v>
      </c>
      <c r="D28" t="s">
        <v>31</v>
      </c>
      <c r="E28" t="s">
        <v>57</v>
      </c>
    </row>
    <row r="29" spans="1:5" x14ac:dyDescent="0.25">
      <c r="A29" s="6">
        <v>44865</v>
      </c>
      <c r="B29" t="s">
        <v>48</v>
      </c>
      <c r="C29">
        <v>4878</v>
      </c>
      <c r="D29" t="s">
        <v>29</v>
      </c>
      <c r="E29" t="s">
        <v>59</v>
      </c>
    </row>
    <row r="30" spans="1:5" x14ac:dyDescent="0.25">
      <c r="A30" s="6">
        <v>44865</v>
      </c>
      <c r="B30" t="s">
        <v>49</v>
      </c>
      <c r="C30">
        <v>14206</v>
      </c>
      <c r="D30" t="s">
        <v>30</v>
      </c>
      <c r="E30" t="s">
        <v>58</v>
      </c>
    </row>
    <row r="31" spans="1:5" x14ac:dyDescent="0.25">
      <c r="A31" s="6">
        <v>44865</v>
      </c>
      <c r="B31" t="s">
        <v>50</v>
      </c>
      <c r="C31">
        <v>44009</v>
      </c>
      <c r="D31" t="s">
        <v>31</v>
      </c>
      <c r="E31" t="s">
        <v>57</v>
      </c>
    </row>
    <row r="32" spans="1:5" x14ac:dyDescent="0.25">
      <c r="A32" s="6">
        <v>44895</v>
      </c>
      <c r="B32" t="s">
        <v>48</v>
      </c>
      <c r="C32">
        <v>4255</v>
      </c>
      <c r="D32" t="s">
        <v>29</v>
      </c>
      <c r="E32" t="s">
        <v>59</v>
      </c>
    </row>
    <row r="33" spans="1:5" x14ac:dyDescent="0.25">
      <c r="A33" s="6">
        <v>44895</v>
      </c>
      <c r="B33" t="s">
        <v>49</v>
      </c>
      <c r="C33">
        <v>14203</v>
      </c>
      <c r="D33" t="s">
        <v>30</v>
      </c>
      <c r="E33" t="s">
        <v>58</v>
      </c>
    </row>
    <row r="34" spans="1:5" x14ac:dyDescent="0.25">
      <c r="A34" s="6">
        <v>44895</v>
      </c>
      <c r="B34" t="s">
        <v>50</v>
      </c>
      <c r="C34">
        <v>29044</v>
      </c>
      <c r="D34" t="s">
        <v>31</v>
      </c>
      <c r="E34" t="s">
        <v>57</v>
      </c>
    </row>
    <row r="35" spans="1:5" x14ac:dyDescent="0.25">
      <c r="A35" s="6">
        <v>44926</v>
      </c>
      <c r="B35" t="s">
        <v>48</v>
      </c>
      <c r="C35">
        <v>1343</v>
      </c>
      <c r="D35" t="s">
        <v>29</v>
      </c>
      <c r="E35" t="s">
        <v>59</v>
      </c>
    </row>
    <row r="36" spans="1:5" x14ac:dyDescent="0.25">
      <c r="A36" s="6">
        <v>44926</v>
      </c>
      <c r="B36" t="s">
        <v>49</v>
      </c>
      <c r="C36">
        <v>9100</v>
      </c>
      <c r="D36" t="s">
        <v>30</v>
      </c>
      <c r="E36" t="s">
        <v>58</v>
      </c>
    </row>
    <row r="37" spans="1:5" x14ac:dyDescent="0.25">
      <c r="A37" s="6">
        <v>44926</v>
      </c>
      <c r="B37" t="s">
        <v>50</v>
      </c>
      <c r="C37">
        <v>29983</v>
      </c>
      <c r="D37" t="s">
        <v>31</v>
      </c>
      <c r="E37" t="s">
        <v>57</v>
      </c>
    </row>
    <row r="38" spans="1:5" x14ac:dyDescent="0.25">
      <c r="A38" s="6"/>
    </row>
    <row r="39" spans="1:5" x14ac:dyDescent="0.25">
      <c r="A39" s="6"/>
    </row>
    <row r="40" spans="1:5" x14ac:dyDescent="0.25">
      <c r="A40" s="6"/>
    </row>
    <row r="41" spans="1:5" x14ac:dyDescent="0.25">
      <c r="A41" s="6"/>
    </row>
    <row r="42" spans="1:5" x14ac:dyDescent="0.25">
      <c r="A42" s="6"/>
    </row>
    <row r="43" spans="1:5" x14ac:dyDescent="0.25">
      <c r="A43" s="6"/>
    </row>
    <row r="44" spans="1:5" x14ac:dyDescent="0.25">
      <c r="A44" s="6"/>
    </row>
    <row r="45" spans="1:5" x14ac:dyDescent="0.25">
      <c r="A45" s="6"/>
    </row>
    <row r="46" spans="1:5" x14ac:dyDescent="0.25">
      <c r="A46" s="6"/>
    </row>
    <row r="47" spans="1:5" x14ac:dyDescent="0.25">
      <c r="A47" s="6"/>
    </row>
    <row r="48" spans="1:5" x14ac:dyDescent="0.25">
      <c r="A48" s="6"/>
    </row>
    <row r="49" spans="1:1" x14ac:dyDescent="0.25">
      <c r="A49" s="6"/>
    </row>
    <row r="50" spans="1:1" x14ac:dyDescent="0.25">
      <c r="A50" s="6"/>
    </row>
    <row r="51" spans="1:1" x14ac:dyDescent="0.25">
      <c r="A51" s="6"/>
    </row>
    <row r="52" spans="1:1" x14ac:dyDescent="0.25">
      <c r="A52" s="6"/>
    </row>
    <row r="53" spans="1:1" x14ac:dyDescent="0.25">
      <c r="A53" s="6"/>
    </row>
    <row r="54" spans="1:1" x14ac:dyDescent="0.25">
      <c r="A54" s="6"/>
    </row>
    <row r="55" spans="1:1" x14ac:dyDescent="0.25">
      <c r="A55" s="6"/>
    </row>
    <row r="56" spans="1:1" x14ac:dyDescent="0.25">
      <c r="A56" s="6"/>
    </row>
    <row r="57" spans="1:1" x14ac:dyDescent="0.25">
      <c r="A57" s="6"/>
    </row>
    <row r="58" spans="1:1" x14ac:dyDescent="0.25">
      <c r="A58" s="6"/>
    </row>
    <row r="59" spans="1:1" x14ac:dyDescent="0.25">
      <c r="A59" s="6"/>
    </row>
    <row r="60" spans="1:1" x14ac:dyDescent="0.25">
      <c r="A60" s="6"/>
    </row>
    <row r="61" spans="1:1" x14ac:dyDescent="0.25">
      <c r="A61" s="6"/>
    </row>
    <row r="62" spans="1:1" x14ac:dyDescent="0.25">
      <c r="A62" s="6"/>
    </row>
    <row r="63" spans="1:1" x14ac:dyDescent="0.25">
      <c r="A63" s="6"/>
    </row>
    <row r="64" spans="1:1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92099-E457-43AE-ADC6-1E64208EB6B5}">
  <sheetPr codeName="Sheet20"/>
  <dimension ref="A1:AW217"/>
  <sheetViews>
    <sheetView showGridLines="0" zoomScale="80" zoomScaleNormal="80" workbookViewId="0">
      <pane ySplit="1" topLeftCell="A20" activePane="bottomLeft" state="frozen"/>
      <selection activeCell="C70" sqref="C70"/>
      <selection pane="bottomLeft"/>
    </sheetView>
  </sheetViews>
  <sheetFormatPr defaultColWidth="8.85546875" defaultRowHeight="15" x14ac:dyDescent="0.25"/>
  <cols>
    <col min="1" max="2" width="10.7109375" style="1" bestFit="1" customWidth="1"/>
    <col min="3" max="3" width="8.5703125" style="1" bestFit="1" customWidth="1"/>
    <col min="4" max="4" width="8.85546875" style="1"/>
    <col min="5" max="5" width="12" style="1" bestFit="1" customWidth="1"/>
    <col min="6" max="6" width="16.28515625" style="1" bestFit="1" customWidth="1"/>
    <col min="7" max="7" width="11.7109375" style="1" bestFit="1" customWidth="1"/>
    <col min="8" max="8" width="15.85546875" style="1" bestFit="1" customWidth="1"/>
    <col min="9" max="9" width="7.5703125" style="1" bestFit="1" customWidth="1"/>
    <col min="10" max="10" width="4.7109375" style="1" bestFit="1" customWidth="1"/>
    <col min="11" max="12" width="8.85546875" style="1"/>
    <col min="13" max="13" width="12.140625" style="1" bestFit="1" customWidth="1"/>
    <col min="14" max="18" width="6.7109375" style="1" bestFit="1" customWidth="1"/>
    <col min="19" max="19" width="6.140625" style="1" bestFit="1" customWidth="1"/>
    <col min="20" max="20" width="9.28515625" style="1" bestFit="1" customWidth="1"/>
    <col min="21" max="25" width="6.7109375" style="1" bestFit="1" customWidth="1"/>
    <col min="26" max="26" width="6.140625" style="1" bestFit="1" customWidth="1"/>
    <col min="27" max="27" width="9.28515625" style="1" bestFit="1" customWidth="1"/>
    <col min="28" max="32" width="6.7109375" style="1" bestFit="1" customWidth="1"/>
    <col min="33" max="33" width="6.140625" style="1" bestFit="1" customWidth="1"/>
    <col min="34" max="34" width="9.28515625" style="1" bestFit="1" customWidth="1"/>
    <col min="35" max="39" width="6.7109375" style="1" bestFit="1" customWidth="1"/>
    <col min="40" max="40" width="6.140625" style="1" bestFit="1" customWidth="1"/>
    <col min="41" max="41" width="9.28515625" style="1" bestFit="1" customWidth="1"/>
    <col min="42" max="46" width="6.7109375" style="1" bestFit="1" customWidth="1"/>
    <col min="47" max="47" width="6.140625" style="1" bestFit="1" customWidth="1"/>
    <col min="48" max="48" width="9.28515625" style="1" bestFit="1" customWidth="1"/>
    <col min="49" max="49" width="11" style="1" bestFit="1" customWidth="1"/>
    <col min="50" max="16384" width="8.85546875" style="1"/>
  </cols>
  <sheetData>
    <row r="1" spans="1:22" x14ac:dyDescent="0.25">
      <c r="A1" s="17" t="s">
        <v>168</v>
      </c>
      <c r="B1" s="17" t="s">
        <v>169</v>
      </c>
      <c r="C1" s="17" t="s">
        <v>56</v>
      </c>
      <c r="E1" s="17" t="s">
        <v>206</v>
      </c>
      <c r="F1" s="17" t="s">
        <v>207</v>
      </c>
      <c r="G1" s="17" t="s">
        <v>208</v>
      </c>
      <c r="H1" s="17" t="s">
        <v>209</v>
      </c>
      <c r="I1" s="17" t="s">
        <v>56</v>
      </c>
      <c r="J1" s="17" t="s">
        <v>223</v>
      </c>
    </row>
    <row r="2" spans="1:22" x14ac:dyDescent="0.25">
      <c r="A2" s="16" t="s">
        <v>170</v>
      </c>
      <c r="B2" s="16" t="s">
        <v>171</v>
      </c>
      <c r="C2" s="16">
        <v>1</v>
      </c>
      <c r="E2" s="17" t="str">
        <f>LEFT(A2,5)</f>
        <v>Fill1</v>
      </c>
      <c r="F2" s="17" t="str">
        <f>MID(A2,FIND("_",A2)+1,LEN(A2)-FIND("_",A2))</f>
        <v>NoFill</v>
      </c>
      <c r="G2" s="17" t="str">
        <f>LEFT(B2,5)</f>
        <v>Fill2</v>
      </c>
      <c r="H2" s="17" t="str">
        <f>MID(B2,FIND("_",B2)+1,LEN(B2)-FIND("_",B2))</f>
        <v>NoFill</v>
      </c>
      <c r="I2" s="17">
        <f>C2</f>
        <v>1</v>
      </c>
      <c r="J2" s="18">
        <f>I2/SUMIF(E:E,E2,I:I)</f>
        <v>5.8582308142940832E-4</v>
      </c>
    </row>
    <row r="3" spans="1:22" x14ac:dyDescent="0.25">
      <c r="A3" s="12" t="s">
        <v>170</v>
      </c>
      <c r="B3" s="12" t="s">
        <v>172</v>
      </c>
      <c r="C3" s="12">
        <v>1</v>
      </c>
      <c r="E3" s="17" t="str">
        <f t="shared" ref="E3:E66" si="0">LEFT(A3,5)</f>
        <v>Fill1</v>
      </c>
      <c r="F3" s="17" t="str">
        <f t="shared" ref="F3:F66" si="1">MID(A3,FIND("_",A3)+1,LEN(A3)-FIND("_",A3))</f>
        <v>NoFill</v>
      </c>
      <c r="G3" s="17" t="str">
        <f t="shared" ref="G3:G66" si="2">LEFT(B3,5)</f>
        <v>Fill2</v>
      </c>
      <c r="H3" s="17" t="str">
        <f t="shared" ref="H3:H66" si="3">MID(B3,FIND("_",B3)+1,LEN(B3)-FIND("_",B3))</f>
        <v>0.8MG</v>
      </c>
      <c r="I3" s="17">
        <f t="shared" ref="I3:I66" si="4">C3</f>
        <v>1</v>
      </c>
      <c r="J3" s="18">
        <f t="shared" ref="J3:J66" si="5">I3/SUMIF(E:E,E3,I:I)</f>
        <v>5.8582308142940832E-4</v>
      </c>
    </row>
    <row r="4" spans="1:22" x14ac:dyDescent="0.25">
      <c r="A4" s="12" t="s">
        <v>170</v>
      </c>
      <c r="B4" s="12" t="s">
        <v>173</v>
      </c>
      <c r="C4" s="12">
        <v>1</v>
      </c>
      <c r="E4" s="17" t="str">
        <f t="shared" si="0"/>
        <v>Fill1</v>
      </c>
      <c r="F4" s="17" t="str">
        <f t="shared" si="1"/>
        <v>NoFill</v>
      </c>
      <c r="G4" s="17" t="str">
        <f t="shared" si="2"/>
        <v>Fill2</v>
      </c>
      <c r="H4" s="17" t="str">
        <f t="shared" si="3"/>
        <v>1.2MG</v>
      </c>
      <c r="I4" s="17">
        <f t="shared" si="4"/>
        <v>1</v>
      </c>
      <c r="J4" s="18">
        <f t="shared" si="5"/>
        <v>5.8582308142940832E-4</v>
      </c>
    </row>
    <row r="5" spans="1:22" x14ac:dyDescent="0.25">
      <c r="A5" s="12" t="s">
        <v>170</v>
      </c>
      <c r="B5" s="12" t="s">
        <v>174</v>
      </c>
      <c r="C5" s="12">
        <v>1</v>
      </c>
      <c r="E5" s="17" t="str">
        <f t="shared" si="0"/>
        <v>Fill1</v>
      </c>
      <c r="F5" s="17" t="str">
        <f t="shared" si="1"/>
        <v>NoFill</v>
      </c>
      <c r="G5" s="17" t="str">
        <f t="shared" si="2"/>
        <v>Fill2</v>
      </c>
      <c r="H5" s="17" t="str">
        <f t="shared" si="3"/>
        <v>1.7MG</v>
      </c>
      <c r="I5" s="17">
        <f t="shared" si="4"/>
        <v>1</v>
      </c>
      <c r="J5" s="18">
        <f t="shared" si="5"/>
        <v>5.8582308142940832E-4</v>
      </c>
      <c r="M5" s="1" t="s">
        <v>222</v>
      </c>
      <c r="N5" s="1" t="s">
        <v>224</v>
      </c>
    </row>
    <row r="6" spans="1:22" x14ac:dyDescent="0.25">
      <c r="A6" s="12" t="s">
        <v>170</v>
      </c>
      <c r="B6" s="12" t="s">
        <v>175</v>
      </c>
      <c r="C6" s="12">
        <v>1</v>
      </c>
      <c r="E6" s="17" t="str">
        <f t="shared" si="0"/>
        <v>Fill1</v>
      </c>
      <c r="F6" s="17" t="str">
        <f t="shared" si="1"/>
        <v>NoFill</v>
      </c>
      <c r="G6" s="17" t="str">
        <f t="shared" si="2"/>
        <v>Fill2</v>
      </c>
      <c r="H6" s="17" t="str">
        <f t="shared" si="3"/>
        <v>2.4MG</v>
      </c>
      <c r="I6" s="17">
        <f t="shared" si="4"/>
        <v>1</v>
      </c>
      <c r="J6" s="18">
        <f t="shared" si="5"/>
        <v>5.8582308142940832E-4</v>
      </c>
      <c r="M6" s="1" t="s">
        <v>206</v>
      </c>
      <c r="N6" s="1" t="s">
        <v>216</v>
      </c>
      <c r="O6" s="1" t="s">
        <v>217</v>
      </c>
      <c r="P6" s="1" t="s">
        <v>218</v>
      </c>
      <c r="Q6" s="1" t="s">
        <v>219</v>
      </c>
      <c r="R6" s="1" t="s">
        <v>220</v>
      </c>
      <c r="S6" s="1" t="s">
        <v>221</v>
      </c>
      <c r="T6" s="1" t="s">
        <v>215</v>
      </c>
    </row>
    <row r="7" spans="1:22" x14ac:dyDescent="0.25">
      <c r="A7" s="12" t="s">
        <v>170</v>
      </c>
      <c r="B7" s="12" t="s">
        <v>176</v>
      </c>
      <c r="C7" s="12">
        <v>1</v>
      </c>
      <c r="E7" s="17" t="str">
        <f t="shared" si="0"/>
        <v>Fill1</v>
      </c>
      <c r="F7" s="17" t="str">
        <f t="shared" si="1"/>
        <v>NoFill</v>
      </c>
      <c r="G7" s="17" t="str">
        <f t="shared" si="2"/>
        <v>Fill2</v>
      </c>
      <c r="H7" s="17" t="str">
        <f t="shared" si="3"/>
        <v>3.0MG</v>
      </c>
      <c r="I7" s="17">
        <f t="shared" si="4"/>
        <v>1</v>
      </c>
      <c r="J7" s="18">
        <f t="shared" si="5"/>
        <v>5.8582308142940832E-4</v>
      </c>
      <c r="M7" s="14" t="s">
        <v>210</v>
      </c>
      <c r="N7" s="1">
        <v>456</v>
      </c>
      <c r="O7" s="1">
        <v>222</v>
      </c>
      <c r="P7" s="1">
        <v>242</v>
      </c>
      <c r="Q7" s="1">
        <v>409</v>
      </c>
      <c r="R7" s="1">
        <v>372</v>
      </c>
      <c r="S7" s="1">
        <v>6</v>
      </c>
      <c r="T7" s="1">
        <v>1707</v>
      </c>
    </row>
    <row r="8" spans="1:22" x14ac:dyDescent="0.25">
      <c r="A8" s="12" t="s">
        <v>177</v>
      </c>
      <c r="B8" s="12" t="s">
        <v>171</v>
      </c>
      <c r="C8" s="12">
        <v>87</v>
      </c>
      <c r="E8" s="17" t="str">
        <f t="shared" si="0"/>
        <v>Fill1</v>
      </c>
      <c r="F8" s="17" t="str">
        <f t="shared" si="1"/>
        <v>0.8MG</v>
      </c>
      <c r="G8" s="17" t="str">
        <f t="shared" si="2"/>
        <v>Fill2</v>
      </c>
      <c r="H8" s="17" t="str">
        <f t="shared" si="3"/>
        <v>NoFill</v>
      </c>
      <c r="I8" s="17">
        <f t="shared" si="4"/>
        <v>87</v>
      </c>
      <c r="J8" s="18">
        <f t="shared" si="5"/>
        <v>5.0966608084358524E-2</v>
      </c>
      <c r="M8" s="14" t="s">
        <v>211</v>
      </c>
      <c r="N8" s="1">
        <v>243</v>
      </c>
      <c r="O8" s="1">
        <v>248</v>
      </c>
      <c r="P8" s="1">
        <v>354</v>
      </c>
      <c r="Q8" s="1">
        <v>289</v>
      </c>
      <c r="R8" s="1">
        <v>275</v>
      </c>
      <c r="S8" s="1">
        <v>6</v>
      </c>
      <c r="T8" s="1">
        <v>1415</v>
      </c>
    </row>
    <row r="9" spans="1:22" x14ac:dyDescent="0.25">
      <c r="A9" s="12" t="s">
        <v>177</v>
      </c>
      <c r="B9" s="12" t="s">
        <v>172</v>
      </c>
      <c r="C9" s="12">
        <v>91</v>
      </c>
      <c r="E9" s="17" t="str">
        <f t="shared" si="0"/>
        <v>Fill1</v>
      </c>
      <c r="F9" s="17" t="str">
        <f t="shared" si="1"/>
        <v>0.8MG</v>
      </c>
      <c r="G9" s="17" t="str">
        <f t="shared" si="2"/>
        <v>Fill2</v>
      </c>
      <c r="H9" s="17" t="str">
        <f t="shared" si="3"/>
        <v>0.8MG</v>
      </c>
      <c r="I9" s="17">
        <f t="shared" si="4"/>
        <v>91</v>
      </c>
      <c r="J9" s="18">
        <f t="shared" si="5"/>
        <v>5.3309900410076154E-2</v>
      </c>
      <c r="M9" s="14" t="s">
        <v>212</v>
      </c>
      <c r="N9" s="1">
        <v>346</v>
      </c>
      <c r="O9" s="1">
        <v>346</v>
      </c>
      <c r="P9" s="1">
        <v>460</v>
      </c>
      <c r="Q9" s="1">
        <v>317</v>
      </c>
      <c r="R9" s="1">
        <v>338</v>
      </c>
      <c r="S9" s="1">
        <v>6</v>
      </c>
      <c r="T9" s="1">
        <v>1813</v>
      </c>
    </row>
    <row r="10" spans="1:22" x14ac:dyDescent="0.25">
      <c r="A10" s="12" t="s">
        <v>177</v>
      </c>
      <c r="B10" s="12" t="s">
        <v>173</v>
      </c>
      <c r="C10" s="12">
        <v>79</v>
      </c>
      <c r="E10" s="17" t="str">
        <f t="shared" si="0"/>
        <v>Fill1</v>
      </c>
      <c r="F10" s="17" t="str">
        <f t="shared" si="1"/>
        <v>0.8MG</v>
      </c>
      <c r="G10" s="17" t="str">
        <f t="shared" si="2"/>
        <v>Fill2</v>
      </c>
      <c r="H10" s="17" t="str">
        <f t="shared" si="3"/>
        <v>1.2MG</v>
      </c>
      <c r="I10" s="17">
        <f t="shared" si="4"/>
        <v>79</v>
      </c>
      <c r="J10" s="18">
        <f t="shared" si="5"/>
        <v>4.6280023432923256E-2</v>
      </c>
      <c r="M10" s="14" t="s">
        <v>213</v>
      </c>
      <c r="N10" s="1">
        <v>227</v>
      </c>
      <c r="O10" s="1">
        <v>250</v>
      </c>
      <c r="P10" s="1">
        <v>236</v>
      </c>
      <c r="Q10" s="1">
        <v>405</v>
      </c>
      <c r="R10" s="1">
        <v>223</v>
      </c>
      <c r="S10" s="1">
        <v>6</v>
      </c>
      <c r="T10" s="1">
        <v>1347</v>
      </c>
    </row>
    <row r="11" spans="1:22" x14ac:dyDescent="0.25">
      <c r="A11" s="12" t="s">
        <v>177</v>
      </c>
      <c r="B11" s="12" t="s">
        <v>174</v>
      </c>
      <c r="C11" s="12">
        <v>79</v>
      </c>
      <c r="E11" s="17" t="str">
        <f t="shared" si="0"/>
        <v>Fill1</v>
      </c>
      <c r="F11" s="17" t="str">
        <f t="shared" si="1"/>
        <v>0.8MG</v>
      </c>
      <c r="G11" s="17" t="str">
        <f t="shared" si="2"/>
        <v>Fill2</v>
      </c>
      <c r="H11" s="17" t="str">
        <f t="shared" si="3"/>
        <v>1.7MG</v>
      </c>
      <c r="I11" s="17">
        <f t="shared" si="4"/>
        <v>79</v>
      </c>
      <c r="J11" s="18">
        <f t="shared" si="5"/>
        <v>4.6280023432923256E-2</v>
      </c>
      <c r="M11" s="14" t="s">
        <v>214</v>
      </c>
      <c r="N11" s="1">
        <v>399</v>
      </c>
      <c r="O11" s="1">
        <v>232</v>
      </c>
      <c r="P11" s="1">
        <v>321</v>
      </c>
      <c r="Q11" s="1">
        <v>324</v>
      </c>
      <c r="R11" s="1">
        <v>244</v>
      </c>
      <c r="S11" s="1">
        <v>6</v>
      </c>
      <c r="T11" s="1">
        <v>1526</v>
      </c>
    </row>
    <row r="12" spans="1:22" x14ac:dyDescent="0.25">
      <c r="A12" s="12" t="s">
        <v>177</v>
      </c>
      <c r="B12" s="12" t="s">
        <v>175</v>
      </c>
      <c r="C12" s="12">
        <v>92</v>
      </c>
      <c r="E12" s="17" t="str">
        <f t="shared" si="0"/>
        <v>Fill1</v>
      </c>
      <c r="F12" s="17" t="str">
        <f t="shared" si="1"/>
        <v>0.8MG</v>
      </c>
      <c r="G12" s="17" t="str">
        <f t="shared" si="2"/>
        <v>Fill2</v>
      </c>
      <c r="H12" s="17" t="str">
        <f t="shared" si="3"/>
        <v>2.4MG</v>
      </c>
      <c r="I12" s="17">
        <f t="shared" si="4"/>
        <v>92</v>
      </c>
      <c r="J12" s="18">
        <f t="shared" si="5"/>
        <v>5.3895723491505565E-2</v>
      </c>
      <c r="M12" s="14" t="s">
        <v>225</v>
      </c>
      <c r="N12" s="1">
        <v>335</v>
      </c>
      <c r="O12" s="1">
        <v>254</v>
      </c>
      <c r="P12" s="1">
        <v>358</v>
      </c>
      <c r="Q12" s="1">
        <v>249</v>
      </c>
      <c r="R12" s="1">
        <v>227</v>
      </c>
      <c r="S12" s="1">
        <v>6</v>
      </c>
      <c r="T12" s="1">
        <v>1429</v>
      </c>
    </row>
    <row r="13" spans="1:22" x14ac:dyDescent="0.25">
      <c r="A13" s="12" t="s">
        <v>177</v>
      </c>
      <c r="B13" s="12" t="s">
        <v>176</v>
      </c>
      <c r="C13" s="12">
        <v>28</v>
      </c>
      <c r="E13" s="17" t="str">
        <f t="shared" si="0"/>
        <v>Fill1</v>
      </c>
      <c r="F13" s="17" t="str">
        <f t="shared" si="1"/>
        <v>0.8MG</v>
      </c>
      <c r="G13" s="17" t="str">
        <f t="shared" si="2"/>
        <v>Fill2</v>
      </c>
      <c r="H13" s="17" t="str">
        <f t="shared" si="3"/>
        <v>3.0MG</v>
      </c>
      <c r="I13" s="17">
        <f t="shared" si="4"/>
        <v>28</v>
      </c>
      <c r="J13" s="18">
        <f t="shared" si="5"/>
        <v>1.6403046280023433E-2</v>
      </c>
      <c r="M13" s="14" t="s">
        <v>215</v>
      </c>
      <c r="N13" s="1">
        <v>2006</v>
      </c>
      <c r="O13" s="1">
        <v>1552</v>
      </c>
      <c r="P13" s="1">
        <v>1971</v>
      </c>
      <c r="Q13" s="1">
        <v>1993</v>
      </c>
      <c r="R13" s="1">
        <v>1679</v>
      </c>
      <c r="S13" s="1">
        <v>36</v>
      </c>
      <c r="T13" s="1">
        <v>9237</v>
      </c>
      <c r="V13" s="13"/>
    </row>
    <row r="14" spans="1:22" x14ac:dyDescent="0.25">
      <c r="A14" s="12" t="s">
        <v>178</v>
      </c>
      <c r="B14" s="12" t="s">
        <v>171</v>
      </c>
      <c r="C14" s="12">
        <v>7</v>
      </c>
      <c r="E14" s="17" t="str">
        <f t="shared" si="0"/>
        <v>Fill1</v>
      </c>
      <c r="F14" s="17" t="str">
        <f t="shared" si="1"/>
        <v>1.2MG</v>
      </c>
      <c r="G14" s="17" t="str">
        <f t="shared" si="2"/>
        <v>Fill2</v>
      </c>
      <c r="H14" s="17" t="str">
        <f t="shared" si="3"/>
        <v>NoFill</v>
      </c>
      <c r="I14" s="17">
        <f t="shared" si="4"/>
        <v>7</v>
      </c>
      <c r="J14" s="18">
        <f t="shared" si="5"/>
        <v>4.1007615700058581E-3</v>
      </c>
      <c r="V14" s="13"/>
    </row>
    <row r="15" spans="1:22" x14ac:dyDescent="0.25">
      <c r="A15" s="12" t="s">
        <v>178</v>
      </c>
      <c r="B15" s="12" t="s">
        <v>172</v>
      </c>
      <c r="C15" s="12">
        <v>26</v>
      </c>
      <c r="E15" s="17" t="str">
        <f t="shared" si="0"/>
        <v>Fill1</v>
      </c>
      <c r="F15" s="17" t="str">
        <f t="shared" si="1"/>
        <v>1.2MG</v>
      </c>
      <c r="G15" s="17" t="str">
        <f t="shared" si="2"/>
        <v>Fill2</v>
      </c>
      <c r="H15" s="17" t="str">
        <f t="shared" si="3"/>
        <v>0.8MG</v>
      </c>
      <c r="I15" s="17">
        <f t="shared" si="4"/>
        <v>26</v>
      </c>
      <c r="J15" s="18">
        <f t="shared" si="5"/>
        <v>1.5231400117164616E-2</v>
      </c>
      <c r="V15" s="13"/>
    </row>
    <row r="16" spans="1:22" x14ac:dyDescent="0.25">
      <c r="A16" s="12" t="s">
        <v>178</v>
      </c>
      <c r="B16" s="12" t="s">
        <v>173</v>
      </c>
      <c r="C16" s="12">
        <v>57</v>
      </c>
      <c r="E16" s="17" t="str">
        <f t="shared" si="0"/>
        <v>Fill1</v>
      </c>
      <c r="F16" s="17" t="str">
        <f t="shared" si="1"/>
        <v>1.2MG</v>
      </c>
      <c r="G16" s="17" t="str">
        <f t="shared" si="2"/>
        <v>Fill2</v>
      </c>
      <c r="H16" s="17" t="str">
        <f t="shared" si="3"/>
        <v>1.2MG</v>
      </c>
      <c r="I16" s="17">
        <f t="shared" si="4"/>
        <v>57</v>
      </c>
      <c r="J16" s="18">
        <f t="shared" si="5"/>
        <v>3.3391915641476276E-2</v>
      </c>
      <c r="V16" s="13"/>
    </row>
    <row r="17" spans="1:49" x14ac:dyDescent="0.25">
      <c r="A17" s="12" t="s">
        <v>178</v>
      </c>
      <c r="B17" s="12" t="s">
        <v>174</v>
      </c>
      <c r="C17" s="12">
        <v>6</v>
      </c>
      <c r="E17" s="17" t="str">
        <f t="shared" si="0"/>
        <v>Fill1</v>
      </c>
      <c r="F17" s="17" t="str">
        <f t="shared" si="1"/>
        <v>1.2MG</v>
      </c>
      <c r="G17" s="17" t="str">
        <f t="shared" si="2"/>
        <v>Fill2</v>
      </c>
      <c r="H17" s="17" t="str">
        <f t="shared" si="3"/>
        <v>1.7MG</v>
      </c>
      <c r="I17" s="17">
        <f t="shared" si="4"/>
        <v>6</v>
      </c>
      <c r="J17" s="18">
        <f t="shared" si="5"/>
        <v>3.5149384885764497E-3</v>
      </c>
      <c r="V17" s="13"/>
    </row>
    <row r="18" spans="1:49" x14ac:dyDescent="0.25">
      <c r="A18" s="12" t="s">
        <v>178</v>
      </c>
      <c r="B18" s="12" t="s">
        <v>175</v>
      </c>
      <c r="C18" s="12">
        <v>92</v>
      </c>
      <c r="E18" s="17" t="str">
        <f t="shared" si="0"/>
        <v>Fill1</v>
      </c>
      <c r="F18" s="17" t="str">
        <f t="shared" si="1"/>
        <v>1.2MG</v>
      </c>
      <c r="G18" s="17" t="str">
        <f t="shared" si="2"/>
        <v>Fill2</v>
      </c>
      <c r="H18" s="17" t="str">
        <f t="shared" si="3"/>
        <v>2.4MG</v>
      </c>
      <c r="I18" s="17">
        <f t="shared" si="4"/>
        <v>92</v>
      </c>
      <c r="J18" s="18">
        <f t="shared" si="5"/>
        <v>5.3895723491505565E-2</v>
      </c>
      <c r="V18" s="13"/>
    </row>
    <row r="19" spans="1:49" x14ac:dyDescent="0.25">
      <c r="A19" s="12" t="s">
        <v>178</v>
      </c>
      <c r="B19" s="12" t="s">
        <v>176</v>
      </c>
      <c r="C19" s="12">
        <v>34</v>
      </c>
      <c r="E19" s="17" t="str">
        <f t="shared" si="0"/>
        <v>Fill1</v>
      </c>
      <c r="F19" s="17" t="str">
        <f t="shared" si="1"/>
        <v>1.2MG</v>
      </c>
      <c r="G19" s="17" t="str">
        <f t="shared" si="2"/>
        <v>Fill2</v>
      </c>
      <c r="H19" s="17" t="str">
        <f t="shared" si="3"/>
        <v>3.0MG</v>
      </c>
      <c r="I19" s="17">
        <f t="shared" si="4"/>
        <v>34</v>
      </c>
      <c r="J19" s="18">
        <f t="shared" si="5"/>
        <v>1.9917984768599881E-2</v>
      </c>
    </row>
    <row r="20" spans="1:49" x14ac:dyDescent="0.25">
      <c r="A20" s="12" t="s">
        <v>179</v>
      </c>
      <c r="B20" s="12" t="s">
        <v>171</v>
      </c>
      <c r="C20" s="12">
        <v>42</v>
      </c>
      <c r="E20" s="17" t="str">
        <f t="shared" si="0"/>
        <v>Fill1</v>
      </c>
      <c r="F20" s="17" t="str">
        <f t="shared" si="1"/>
        <v>1.7MG</v>
      </c>
      <c r="G20" s="17" t="str">
        <f t="shared" si="2"/>
        <v>Fill2</v>
      </c>
      <c r="H20" s="17" t="str">
        <f t="shared" si="3"/>
        <v>NoFill</v>
      </c>
      <c r="I20" s="17">
        <f t="shared" si="4"/>
        <v>42</v>
      </c>
      <c r="J20" s="18">
        <f t="shared" si="5"/>
        <v>2.4604569420035149E-2</v>
      </c>
    </row>
    <row r="21" spans="1:49" x14ac:dyDescent="0.25">
      <c r="A21" s="12" t="s">
        <v>179</v>
      </c>
      <c r="B21" s="12" t="s">
        <v>172</v>
      </c>
      <c r="C21" s="12">
        <v>6</v>
      </c>
      <c r="E21" s="17" t="str">
        <f t="shared" si="0"/>
        <v>Fill1</v>
      </c>
      <c r="F21" s="17" t="str">
        <f t="shared" si="1"/>
        <v>1.7MG</v>
      </c>
      <c r="G21" s="17" t="str">
        <f t="shared" si="2"/>
        <v>Fill2</v>
      </c>
      <c r="H21" s="17" t="str">
        <f t="shared" si="3"/>
        <v>0.8MG</v>
      </c>
      <c r="I21" s="17">
        <f t="shared" si="4"/>
        <v>6</v>
      </c>
      <c r="J21" s="18">
        <f t="shared" si="5"/>
        <v>3.5149384885764497E-3</v>
      </c>
    </row>
    <row r="22" spans="1:49" x14ac:dyDescent="0.25">
      <c r="A22" s="12" t="s">
        <v>179</v>
      </c>
      <c r="B22" s="12" t="s">
        <v>173</v>
      </c>
      <c r="C22" s="12">
        <v>68</v>
      </c>
      <c r="E22" s="17" t="str">
        <f t="shared" si="0"/>
        <v>Fill1</v>
      </c>
      <c r="F22" s="17" t="str">
        <f t="shared" si="1"/>
        <v>1.7MG</v>
      </c>
      <c r="G22" s="17" t="str">
        <f t="shared" si="2"/>
        <v>Fill2</v>
      </c>
      <c r="H22" s="17" t="str">
        <f t="shared" si="3"/>
        <v>1.2MG</v>
      </c>
      <c r="I22" s="17">
        <f t="shared" si="4"/>
        <v>68</v>
      </c>
      <c r="J22" s="18">
        <f t="shared" si="5"/>
        <v>3.9835969537199763E-2</v>
      </c>
    </row>
    <row r="23" spans="1:49" x14ac:dyDescent="0.25">
      <c r="A23" s="12" t="s">
        <v>179</v>
      </c>
      <c r="B23" s="12" t="s">
        <v>174</v>
      </c>
      <c r="C23" s="12">
        <v>64</v>
      </c>
      <c r="E23" s="17" t="str">
        <f t="shared" si="0"/>
        <v>Fill1</v>
      </c>
      <c r="F23" s="17" t="str">
        <f t="shared" si="1"/>
        <v>1.7MG</v>
      </c>
      <c r="G23" s="17" t="str">
        <f t="shared" si="2"/>
        <v>Fill2</v>
      </c>
      <c r="H23" s="17" t="str">
        <f t="shared" si="3"/>
        <v>1.7MG</v>
      </c>
      <c r="I23" s="17">
        <f t="shared" si="4"/>
        <v>64</v>
      </c>
      <c r="J23" s="18">
        <f t="shared" si="5"/>
        <v>3.7492677211482132E-2</v>
      </c>
    </row>
    <row r="24" spans="1:49" x14ac:dyDescent="0.25">
      <c r="A24" s="12" t="s">
        <v>179</v>
      </c>
      <c r="B24" s="12" t="s">
        <v>175</v>
      </c>
      <c r="C24" s="12">
        <v>25</v>
      </c>
      <c r="E24" s="17" t="str">
        <f t="shared" si="0"/>
        <v>Fill1</v>
      </c>
      <c r="F24" s="17" t="str">
        <f t="shared" si="1"/>
        <v>1.7MG</v>
      </c>
      <c r="G24" s="17" t="str">
        <f t="shared" si="2"/>
        <v>Fill2</v>
      </c>
      <c r="H24" s="17" t="str">
        <f t="shared" si="3"/>
        <v>2.4MG</v>
      </c>
      <c r="I24" s="17">
        <f t="shared" si="4"/>
        <v>25</v>
      </c>
      <c r="J24" s="18">
        <f t="shared" si="5"/>
        <v>1.4645577035735208E-2</v>
      </c>
      <c r="M24" s="1" t="s">
        <v>226</v>
      </c>
    </row>
    <row r="25" spans="1:49" x14ac:dyDescent="0.25">
      <c r="A25" s="12" t="s">
        <v>179</v>
      </c>
      <c r="B25" s="12" t="s">
        <v>176</v>
      </c>
      <c r="C25" s="12">
        <v>37</v>
      </c>
      <c r="E25" s="17" t="str">
        <f t="shared" si="0"/>
        <v>Fill1</v>
      </c>
      <c r="F25" s="17" t="str">
        <f t="shared" si="1"/>
        <v>1.7MG</v>
      </c>
      <c r="G25" s="17" t="str">
        <f t="shared" si="2"/>
        <v>Fill2</v>
      </c>
      <c r="H25" s="17" t="str">
        <f t="shared" si="3"/>
        <v>3.0MG</v>
      </c>
      <c r="I25" s="17">
        <f t="shared" si="4"/>
        <v>37</v>
      </c>
      <c r="J25" s="18">
        <f t="shared" si="5"/>
        <v>2.1675454012888107E-2</v>
      </c>
      <c r="N25" s="1" t="s">
        <v>211</v>
      </c>
      <c r="T25" s="1" t="s">
        <v>227</v>
      </c>
      <c r="U25" s="1" t="s">
        <v>212</v>
      </c>
      <c r="AA25" s="1" t="s">
        <v>228</v>
      </c>
      <c r="AB25" s="1" t="s">
        <v>213</v>
      </c>
      <c r="AH25" s="1" t="s">
        <v>229</v>
      </c>
      <c r="AI25" s="1" t="s">
        <v>214</v>
      </c>
      <c r="AO25" s="1" t="s">
        <v>230</v>
      </c>
      <c r="AP25" s="1" t="s">
        <v>225</v>
      </c>
      <c r="AV25" s="1" t="s">
        <v>231</v>
      </c>
      <c r="AW25" s="1" t="s">
        <v>215</v>
      </c>
    </row>
    <row r="26" spans="1:49" x14ac:dyDescent="0.25">
      <c r="A26" s="12" t="s">
        <v>180</v>
      </c>
      <c r="B26" s="12" t="s">
        <v>171</v>
      </c>
      <c r="C26" s="12">
        <v>80</v>
      </c>
      <c r="E26" s="17" t="str">
        <f t="shared" si="0"/>
        <v>Fill1</v>
      </c>
      <c r="F26" s="17" t="str">
        <f t="shared" si="1"/>
        <v>2.4MG</v>
      </c>
      <c r="G26" s="17" t="str">
        <f t="shared" si="2"/>
        <v>Fill2</v>
      </c>
      <c r="H26" s="17" t="str">
        <f t="shared" si="3"/>
        <v>NoFill</v>
      </c>
      <c r="I26" s="17">
        <f t="shared" si="4"/>
        <v>80</v>
      </c>
      <c r="J26" s="18">
        <f t="shared" si="5"/>
        <v>4.6865846514352667E-2</v>
      </c>
      <c r="N26" s="1" t="s">
        <v>216</v>
      </c>
      <c r="O26" s="1" t="s">
        <v>217</v>
      </c>
      <c r="P26" s="1" t="s">
        <v>218</v>
      </c>
      <c r="Q26" s="1" t="s">
        <v>219</v>
      </c>
      <c r="R26" s="1" t="s">
        <v>220</v>
      </c>
      <c r="S26" s="1" t="s">
        <v>221</v>
      </c>
      <c r="U26" s="1" t="s">
        <v>216</v>
      </c>
      <c r="V26" s="1" t="s">
        <v>217</v>
      </c>
      <c r="W26" s="1" t="s">
        <v>218</v>
      </c>
      <c r="X26" s="1" t="s">
        <v>219</v>
      </c>
      <c r="Y26" s="1" t="s">
        <v>220</v>
      </c>
      <c r="Z26" s="1" t="s">
        <v>221</v>
      </c>
      <c r="AB26" s="1" t="s">
        <v>216</v>
      </c>
      <c r="AC26" s="1" t="s">
        <v>217</v>
      </c>
      <c r="AD26" s="1" t="s">
        <v>218</v>
      </c>
      <c r="AE26" s="1" t="s">
        <v>219</v>
      </c>
      <c r="AF26" s="1" t="s">
        <v>220</v>
      </c>
      <c r="AG26" s="1" t="s">
        <v>221</v>
      </c>
      <c r="AI26" s="1" t="s">
        <v>216</v>
      </c>
      <c r="AJ26" s="1" t="s">
        <v>217</v>
      </c>
      <c r="AK26" s="1" t="s">
        <v>218</v>
      </c>
      <c r="AL26" s="1" t="s">
        <v>219</v>
      </c>
      <c r="AM26" s="1" t="s">
        <v>220</v>
      </c>
      <c r="AN26" s="1" t="s">
        <v>221</v>
      </c>
      <c r="AP26" s="1" t="s">
        <v>216</v>
      </c>
      <c r="AQ26" s="1" t="s">
        <v>217</v>
      </c>
      <c r="AR26" s="1" t="s">
        <v>218</v>
      </c>
      <c r="AS26" s="1" t="s">
        <v>219</v>
      </c>
      <c r="AT26" s="1" t="s">
        <v>220</v>
      </c>
      <c r="AU26" s="1" t="s">
        <v>221</v>
      </c>
    </row>
    <row r="27" spans="1:49" x14ac:dyDescent="0.25">
      <c r="A27" s="12" t="s">
        <v>180</v>
      </c>
      <c r="B27" s="12" t="s">
        <v>172</v>
      </c>
      <c r="C27" s="12">
        <v>62</v>
      </c>
      <c r="E27" s="17" t="str">
        <f t="shared" si="0"/>
        <v>Fill1</v>
      </c>
      <c r="F27" s="17" t="str">
        <f t="shared" si="1"/>
        <v>2.4MG</v>
      </c>
      <c r="G27" s="17" t="str">
        <f t="shared" si="2"/>
        <v>Fill2</v>
      </c>
      <c r="H27" s="17" t="str">
        <f t="shared" si="3"/>
        <v>0.8MG</v>
      </c>
      <c r="I27" s="17">
        <f t="shared" si="4"/>
        <v>62</v>
      </c>
      <c r="J27" s="18">
        <f t="shared" si="5"/>
        <v>3.6321031048623317E-2</v>
      </c>
      <c r="M27" s="14" t="s">
        <v>210</v>
      </c>
      <c r="N27" s="1">
        <v>232</v>
      </c>
      <c r="O27" s="1">
        <v>327</v>
      </c>
      <c r="P27" s="1">
        <v>307</v>
      </c>
      <c r="Q27" s="1">
        <v>347</v>
      </c>
      <c r="R27" s="1">
        <v>214</v>
      </c>
      <c r="S27" s="1">
        <v>280</v>
      </c>
      <c r="T27" s="1">
        <v>1707</v>
      </c>
      <c r="AW27" s="1">
        <v>1707</v>
      </c>
    </row>
    <row r="28" spans="1:49" x14ac:dyDescent="0.25">
      <c r="A28" s="12" t="s">
        <v>180</v>
      </c>
      <c r="B28" s="12" t="s">
        <v>173</v>
      </c>
      <c r="C28" s="12">
        <v>26</v>
      </c>
      <c r="E28" s="17" t="str">
        <f t="shared" si="0"/>
        <v>Fill1</v>
      </c>
      <c r="F28" s="17" t="str">
        <f t="shared" si="1"/>
        <v>2.4MG</v>
      </c>
      <c r="G28" s="17" t="str">
        <f t="shared" si="2"/>
        <v>Fill2</v>
      </c>
      <c r="H28" s="17" t="str">
        <f t="shared" si="3"/>
        <v>1.2MG</v>
      </c>
      <c r="I28" s="17">
        <f t="shared" si="4"/>
        <v>26</v>
      </c>
      <c r="J28" s="18">
        <f t="shared" si="5"/>
        <v>1.5231400117164616E-2</v>
      </c>
      <c r="M28" s="13" t="s">
        <v>216</v>
      </c>
      <c r="N28" s="1">
        <v>91</v>
      </c>
      <c r="O28" s="1">
        <v>79</v>
      </c>
      <c r="P28" s="1">
        <v>79</v>
      </c>
      <c r="Q28" s="1">
        <v>92</v>
      </c>
      <c r="R28" s="1">
        <v>28</v>
      </c>
      <c r="S28" s="1">
        <v>87</v>
      </c>
      <c r="T28" s="1">
        <v>456</v>
      </c>
      <c r="AW28" s="1">
        <v>456</v>
      </c>
    </row>
    <row r="29" spans="1:49" x14ac:dyDescent="0.25">
      <c r="A29" s="12" t="s">
        <v>180</v>
      </c>
      <c r="B29" s="12" t="s">
        <v>174</v>
      </c>
      <c r="C29" s="12">
        <v>93</v>
      </c>
      <c r="E29" s="17" t="str">
        <f t="shared" si="0"/>
        <v>Fill1</v>
      </c>
      <c r="F29" s="17" t="str">
        <f t="shared" si="1"/>
        <v>2.4MG</v>
      </c>
      <c r="G29" s="17" t="str">
        <f t="shared" si="2"/>
        <v>Fill2</v>
      </c>
      <c r="H29" s="17" t="str">
        <f t="shared" si="3"/>
        <v>1.7MG</v>
      </c>
      <c r="I29" s="17">
        <f t="shared" si="4"/>
        <v>93</v>
      </c>
      <c r="J29" s="18">
        <f t="shared" si="5"/>
        <v>5.4481546572934976E-2</v>
      </c>
      <c r="M29" s="13" t="s">
        <v>217</v>
      </c>
      <c r="N29" s="1">
        <v>26</v>
      </c>
      <c r="O29" s="1">
        <v>57</v>
      </c>
      <c r="P29" s="1">
        <v>6</v>
      </c>
      <c r="Q29" s="1">
        <v>92</v>
      </c>
      <c r="R29" s="1">
        <v>34</v>
      </c>
      <c r="S29" s="1">
        <v>7</v>
      </c>
      <c r="T29" s="1">
        <v>222</v>
      </c>
      <c r="AW29" s="1">
        <v>222</v>
      </c>
    </row>
    <row r="30" spans="1:49" x14ac:dyDescent="0.25">
      <c r="A30" s="12" t="s">
        <v>180</v>
      </c>
      <c r="B30" s="12" t="s">
        <v>175</v>
      </c>
      <c r="C30" s="12">
        <v>53</v>
      </c>
      <c r="E30" s="17" t="str">
        <f t="shared" si="0"/>
        <v>Fill1</v>
      </c>
      <c r="F30" s="17" t="str">
        <f t="shared" si="1"/>
        <v>2.4MG</v>
      </c>
      <c r="G30" s="17" t="str">
        <f t="shared" si="2"/>
        <v>Fill2</v>
      </c>
      <c r="H30" s="17" t="str">
        <f t="shared" si="3"/>
        <v>2.4MG</v>
      </c>
      <c r="I30" s="17">
        <f t="shared" si="4"/>
        <v>53</v>
      </c>
      <c r="J30" s="18">
        <f t="shared" si="5"/>
        <v>3.1048623315758642E-2</v>
      </c>
      <c r="M30" s="13" t="s">
        <v>218</v>
      </c>
      <c r="N30" s="1">
        <v>6</v>
      </c>
      <c r="O30" s="1">
        <v>68</v>
      </c>
      <c r="P30" s="1">
        <v>64</v>
      </c>
      <c r="Q30" s="1">
        <v>25</v>
      </c>
      <c r="R30" s="1">
        <v>37</v>
      </c>
      <c r="S30" s="1">
        <v>42</v>
      </c>
      <c r="T30" s="1">
        <v>242</v>
      </c>
      <c r="AW30" s="1">
        <v>242</v>
      </c>
    </row>
    <row r="31" spans="1:49" x14ac:dyDescent="0.25">
      <c r="A31" s="12" t="s">
        <v>180</v>
      </c>
      <c r="B31" s="12" t="s">
        <v>176</v>
      </c>
      <c r="C31" s="12">
        <v>95</v>
      </c>
      <c r="E31" s="17" t="str">
        <f t="shared" si="0"/>
        <v>Fill1</v>
      </c>
      <c r="F31" s="17" t="str">
        <f t="shared" si="1"/>
        <v>2.4MG</v>
      </c>
      <c r="G31" s="17" t="str">
        <f t="shared" si="2"/>
        <v>Fill2</v>
      </c>
      <c r="H31" s="17" t="str">
        <f t="shared" si="3"/>
        <v>3.0MG</v>
      </c>
      <c r="I31" s="17">
        <f t="shared" si="4"/>
        <v>95</v>
      </c>
      <c r="J31" s="18">
        <f t="shared" si="5"/>
        <v>5.5653192735793791E-2</v>
      </c>
      <c r="M31" s="13" t="s">
        <v>219</v>
      </c>
      <c r="N31" s="1">
        <v>62</v>
      </c>
      <c r="O31" s="1">
        <v>26</v>
      </c>
      <c r="P31" s="1">
        <v>93</v>
      </c>
      <c r="Q31" s="1">
        <v>53</v>
      </c>
      <c r="R31" s="1">
        <v>95</v>
      </c>
      <c r="S31" s="1">
        <v>80</v>
      </c>
      <c r="T31" s="1">
        <v>409</v>
      </c>
      <c r="AW31" s="1">
        <v>409</v>
      </c>
    </row>
    <row r="32" spans="1:49" x14ac:dyDescent="0.25">
      <c r="A32" s="12" t="s">
        <v>181</v>
      </c>
      <c r="B32" s="12" t="s">
        <v>171</v>
      </c>
      <c r="C32" s="12">
        <v>63</v>
      </c>
      <c r="E32" s="17" t="str">
        <f t="shared" si="0"/>
        <v>Fill1</v>
      </c>
      <c r="F32" s="17" t="str">
        <f t="shared" si="1"/>
        <v>3.0MG</v>
      </c>
      <c r="G32" s="17" t="str">
        <f t="shared" si="2"/>
        <v>Fill2</v>
      </c>
      <c r="H32" s="17" t="str">
        <f t="shared" si="3"/>
        <v>NoFill</v>
      </c>
      <c r="I32" s="17">
        <f t="shared" si="4"/>
        <v>63</v>
      </c>
      <c r="J32" s="18">
        <f t="shared" si="5"/>
        <v>3.6906854130052721E-2</v>
      </c>
      <c r="M32" s="13" t="s">
        <v>220</v>
      </c>
      <c r="N32" s="1">
        <v>46</v>
      </c>
      <c r="O32" s="1">
        <v>96</v>
      </c>
      <c r="P32" s="1">
        <v>64</v>
      </c>
      <c r="Q32" s="1">
        <v>84</v>
      </c>
      <c r="R32" s="1">
        <v>19</v>
      </c>
      <c r="S32" s="1">
        <v>63</v>
      </c>
      <c r="T32" s="1">
        <v>372</v>
      </c>
      <c r="AW32" s="1">
        <v>372</v>
      </c>
    </row>
    <row r="33" spans="1:49" x14ac:dyDescent="0.25">
      <c r="A33" s="12" t="s">
        <v>181</v>
      </c>
      <c r="B33" s="12" t="s">
        <v>172</v>
      </c>
      <c r="C33" s="12">
        <v>46</v>
      </c>
      <c r="E33" s="17" t="str">
        <f t="shared" si="0"/>
        <v>Fill1</v>
      </c>
      <c r="F33" s="17" t="str">
        <f t="shared" si="1"/>
        <v>3.0MG</v>
      </c>
      <c r="G33" s="17" t="str">
        <f t="shared" si="2"/>
        <v>Fill2</v>
      </c>
      <c r="H33" s="17" t="str">
        <f t="shared" si="3"/>
        <v>0.8MG</v>
      </c>
      <c r="I33" s="17">
        <f t="shared" si="4"/>
        <v>46</v>
      </c>
      <c r="J33" s="18">
        <f t="shared" si="5"/>
        <v>2.6947861745752782E-2</v>
      </c>
      <c r="M33" s="13" t="s">
        <v>221</v>
      </c>
      <c r="N33" s="1">
        <v>1</v>
      </c>
      <c r="O33" s="1">
        <v>1</v>
      </c>
      <c r="P33" s="1">
        <v>1</v>
      </c>
      <c r="Q33" s="1">
        <v>1</v>
      </c>
      <c r="R33" s="1">
        <v>1</v>
      </c>
      <c r="S33" s="1">
        <v>1</v>
      </c>
      <c r="T33" s="1">
        <v>6</v>
      </c>
      <c r="AW33" s="1">
        <v>6</v>
      </c>
    </row>
    <row r="34" spans="1:49" x14ac:dyDescent="0.25">
      <c r="A34" s="12" t="s">
        <v>181</v>
      </c>
      <c r="B34" s="12" t="s">
        <v>173</v>
      </c>
      <c r="C34" s="12">
        <v>96</v>
      </c>
      <c r="E34" s="17" t="str">
        <f t="shared" si="0"/>
        <v>Fill1</v>
      </c>
      <c r="F34" s="17" t="str">
        <f t="shared" si="1"/>
        <v>3.0MG</v>
      </c>
      <c r="G34" s="17" t="str">
        <f t="shared" si="2"/>
        <v>Fill2</v>
      </c>
      <c r="H34" s="17" t="str">
        <f t="shared" si="3"/>
        <v>1.2MG</v>
      </c>
      <c r="I34" s="17">
        <f t="shared" si="4"/>
        <v>96</v>
      </c>
      <c r="J34" s="18">
        <f t="shared" si="5"/>
        <v>5.6239015817223195E-2</v>
      </c>
      <c r="M34" s="14" t="s">
        <v>211</v>
      </c>
      <c r="U34" s="1">
        <v>284</v>
      </c>
      <c r="V34" s="1">
        <v>209</v>
      </c>
      <c r="W34" s="1">
        <v>177</v>
      </c>
      <c r="X34" s="1">
        <v>237</v>
      </c>
      <c r="Y34" s="1">
        <v>237</v>
      </c>
      <c r="Z34" s="1">
        <v>271</v>
      </c>
      <c r="AA34" s="1">
        <v>1415</v>
      </c>
      <c r="AW34" s="1">
        <v>1415</v>
      </c>
    </row>
    <row r="35" spans="1:49" x14ac:dyDescent="0.25">
      <c r="A35" s="12" t="s">
        <v>181</v>
      </c>
      <c r="B35" s="12" t="s">
        <v>174</v>
      </c>
      <c r="C35" s="12">
        <v>64</v>
      </c>
      <c r="E35" s="17" t="str">
        <f t="shared" si="0"/>
        <v>Fill1</v>
      </c>
      <c r="F35" s="17" t="str">
        <f t="shared" si="1"/>
        <v>3.0MG</v>
      </c>
      <c r="G35" s="17" t="str">
        <f t="shared" si="2"/>
        <v>Fill2</v>
      </c>
      <c r="H35" s="17" t="str">
        <f t="shared" si="3"/>
        <v>1.7MG</v>
      </c>
      <c r="I35" s="17">
        <f t="shared" si="4"/>
        <v>64</v>
      </c>
      <c r="J35" s="18">
        <f t="shared" si="5"/>
        <v>3.7492677211482132E-2</v>
      </c>
      <c r="M35" s="13" t="s">
        <v>216</v>
      </c>
      <c r="U35" s="1">
        <v>7</v>
      </c>
      <c r="V35" s="1">
        <v>55</v>
      </c>
      <c r="W35" s="1">
        <v>11</v>
      </c>
      <c r="X35" s="1">
        <v>25</v>
      </c>
      <c r="Y35" s="1">
        <v>77</v>
      </c>
      <c r="Z35" s="1">
        <v>68</v>
      </c>
      <c r="AA35" s="1">
        <v>243</v>
      </c>
      <c r="AW35" s="1">
        <v>243</v>
      </c>
    </row>
    <row r="36" spans="1:49" x14ac:dyDescent="0.25">
      <c r="A36" s="12" t="s">
        <v>181</v>
      </c>
      <c r="B36" s="12" t="s">
        <v>175</v>
      </c>
      <c r="C36" s="12">
        <v>84</v>
      </c>
      <c r="E36" s="17" t="str">
        <f t="shared" si="0"/>
        <v>Fill1</v>
      </c>
      <c r="F36" s="17" t="str">
        <f t="shared" si="1"/>
        <v>3.0MG</v>
      </c>
      <c r="G36" s="17" t="str">
        <f t="shared" si="2"/>
        <v>Fill2</v>
      </c>
      <c r="H36" s="17" t="str">
        <f t="shared" si="3"/>
        <v>2.4MG</v>
      </c>
      <c r="I36" s="17">
        <f t="shared" si="4"/>
        <v>84</v>
      </c>
      <c r="J36" s="18">
        <f t="shared" si="5"/>
        <v>4.9209138840070298E-2</v>
      </c>
      <c r="M36" s="13" t="s">
        <v>217</v>
      </c>
      <c r="U36" s="1">
        <v>22</v>
      </c>
      <c r="V36" s="1">
        <v>8</v>
      </c>
      <c r="W36" s="1">
        <v>93</v>
      </c>
      <c r="X36" s="1">
        <v>64</v>
      </c>
      <c r="Y36" s="1">
        <v>18</v>
      </c>
      <c r="Z36" s="1">
        <v>43</v>
      </c>
      <c r="AA36" s="1">
        <v>248</v>
      </c>
      <c r="AW36" s="1">
        <v>248</v>
      </c>
    </row>
    <row r="37" spans="1:49" x14ac:dyDescent="0.25">
      <c r="A37" s="15" t="s">
        <v>181</v>
      </c>
      <c r="B37" s="15" t="s">
        <v>176</v>
      </c>
      <c r="C37" s="15">
        <v>19</v>
      </c>
      <c r="E37" s="17" t="str">
        <f t="shared" si="0"/>
        <v>Fill1</v>
      </c>
      <c r="F37" s="17" t="str">
        <f t="shared" si="1"/>
        <v>3.0MG</v>
      </c>
      <c r="G37" s="17" t="str">
        <f t="shared" si="2"/>
        <v>Fill2</v>
      </c>
      <c r="H37" s="17" t="str">
        <f t="shared" si="3"/>
        <v>3.0MG</v>
      </c>
      <c r="I37" s="17">
        <f t="shared" si="4"/>
        <v>19</v>
      </c>
      <c r="J37" s="18">
        <f t="shared" si="5"/>
        <v>1.1130638547158758E-2</v>
      </c>
      <c r="M37" s="13" t="s">
        <v>218</v>
      </c>
      <c r="U37" s="1">
        <v>94</v>
      </c>
      <c r="V37" s="1">
        <v>57</v>
      </c>
      <c r="W37" s="1">
        <v>6</v>
      </c>
      <c r="X37" s="1">
        <v>88</v>
      </c>
      <c r="Y37" s="1">
        <v>96</v>
      </c>
      <c r="Z37" s="1">
        <v>13</v>
      </c>
      <c r="AA37" s="1">
        <v>354</v>
      </c>
      <c r="AW37" s="1">
        <v>354</v>
      </c>
    </row>
    <row r="38" spans="1:49" x14ac:dyDescent="0.25">
      <c r="A38" s="17" t="s">
        <v>171</v>
      </c>
      <c r="B38" s="17" t="s">
        <v>182</v>
      </c>
      <c r="C38" s="17">
        <v>1</v>
      </c>
      <c r="E38" s="17" t="str">
        <f t="shared" si="0"/>
        <v>Fill2</v>
      </c>
      <c r="F38" s="17" t="str">
        <f t="shared" si="1"/>
        <v>NoFill</v>
      </c>
      <c r="G38" s="17" t="str">
        <f t="shared" si="2"/>
        <v>Fill3</v>
      </c>
      <c r="H38" s="17" t="str">
        <f t="shared" si="3"/>
        <v>NoFill</v>
      </c>
      <c r="I38" s="17">
        <f t="shared" si="4"/>
        <v>1</v>
      </c>
      <c r="J38" s="18">
        <f t="shared" si="5"/>
        <v>7.0671378091872788E-4</v>
      </c>
      <c r="M38" s="13" t="s">
        <v>219</v>
      </c>
      <c r="U38" s="1">
        <v>75</v>
      </c>
      <c r="V38" s="1">
        <v>48</v>
      </c>
      <c r="W38" s="1">
        <v>12</v>
      </c>
      <c r="X38" s="1">
        <v>51</v>
      </c>
      <c r="Y38" s="1">
        <v>39</v>
      </c>
      <c r="Z38" s="1">
        <v>64</v>
      </c>
      <c r="AA38" s="1">
        <v>289</v>
      </c>
      <c r="AW38" s="1">
        <v>289</v>
      </c>
    </row>
    <row r="39" spans="1:49" x14ac:dyDescent="0.25">
      <c r="A39" s="17" t="s">
        <v>171</v>
      </c>
      <c r="B39" s="17" t="s">
        <v>183</v>
      </c>
      <c r="C39" s="17">
        <v>1</v>
      </c>
      <c r="E39" s="17" t="str">
        <f t="shared" si="0"/>
        <v>Fill2</v>
      </c>
      <c r="F39" s="17" t="str">
        <f t="shared" si="1"/>
        <v>NoFill</v>
      </c>
      <c r="G39" s="17" t="str">
        <f t="shared" si="2"/>
        <v>Fill3</v>
      </c>
      <c r="H39" s="17" t="str">
        <f t="shared" si="3"/>
        <v>0.8MG</v>
      </c>
      <c r="I39" s="17">
        <f t="shared" si="4"/>
        <v>1</v>
      </c>
      <c r="J39" s="18">
        <f t="shared" si="5"/>
        <v>7.0671378091872788E-4</v>
      </c>
      <c r="M39" s="13" t="s">
        <v>220</v>
      </c>
      <c r="U39" s="1">
        <v>85</v>
      </c>
      <c r="V39" s="1">
        <v>40</v>
      </c>
      <c r="W39" s="1">
        <v>54</v>
      </c>
      <c r="X39" s="1">
        <v>8</v>
      </c>
      <c r="Y39" s="1">
        <v>6</v>
      </c>
      <c r="Z39" s="1">
        <v>82</v>
      </c>
      <c r="AA39" s="1">
        <v>275</v>
      </c>
      <c r="AW39" s="1">
        <v>275</v>
      </c>
    </row>
    <row r="40" spans="1:49" x14ac:dyDescent="0.25">
      <c r="A40" s="17" t="s">
        <v>171</v>
      </c>
      <c r="B40" s="17" t="s">
        <v>184</v>
      </c>
      <c r="C40" s="17">
        <v>1</v>
      </c>
      <c r="E40" s="17" t="str">
        <f t="shared" si="0"/>
        <v>Fill2</v>
      </c>
      <c r="F40" s="17" t="str">
        <f t="shared" si="1"/>
        <v>NoFill</v>
      </c>
      <c r="G40" s="17" t="str">
        <f t="shared" si="2"/>
        <v>Fill3</v>
      </c>
      <c r="H40" s="17" t="str">
        <f t="shared" si="3"/>
        <v>1.2MG</v>
      </c>
      <c r="I40" s="17">
        <f t="shared" si="4"/>
        <v>1</v>
      </c>
      <c r="J40" s="18">
        <f t="shared" si="5"/>
        <v>7.0671378091872788E-4</v>
      </c>
      <c r="M40" s="13" t="s">
        <v>221</v>
      </c>
      <c r="U40" s="1">
        <v>1</v>
      </c>
      <c r="V40" s="1">
        <v>1</v>
      </c>
      <c r="W40" s="1">
        <v>1</v>
      </c>
      <c r="X40" s="1">
        <v>1</v>
      </c>
      <c r="Y40" s="1">
        <v>1</v>
      </c>
      <c r="Z40" s="1">
        <v>1</v>
      </c>
      <c r="AA40" s="1">
        <v>6</v>
      </c>
      <c r="AW40" s="1">
        <v>6</v>
      </c>
    </row>
    <row r="41" spans="1:49" x14ac:dyDescent="0.25">
      <c r="A41" s="17" t="s">
        <v>171</v>
      </c>
      <c r="B41" s="17" t="s">
        <v>185</v>
      </c>
      <c r="C41" s="17">
        <v>1</v>
      </c>
      <c r="E41" s="17" t="str">
        <f t="shared" si="0"/>
        <v>Fill2</v>
      </c>
      <c r="F41" s="17" t="str">
        <f t="shared" si="1"/>
        <v>NoFill</v>
      </c>
      <c r="G41" s="17" t="str">
        <f t="shared" si="2"/>
        <v>Fill3</v>
      </c>
      <c r="H41" s="17" t="str">
        <f t="shared" si="3"/>
        <v>1.7MG</v>
      </c>
      <c r="I41" s="17">
        <f t="shared" si="4"/>
        <v>1</v>
      </c>
      <c r="J41" s="18">
        <f t="shared" si="5"/>
        <v>7.0671378091872788E-4</v>
      </c>
      <c r="M41" s="14" t="s">
        <v>212</v>
      </c>
      <c r="AB41" s="1">
        <v>307</v>
      </c>
      <c r="AC41" s="1">
        <v>224</v>
      </c>
      <c r="AD41" s="1">
        <v>309</v>
      </c>
      <c r="AE41" s="1">
        <v>396</v>
      </c>
      <c r="AF41" s="1">
        <v>355</v>
      </c>
      <c r="AG41" s="1">
        <v>222</v>
      </c>
      <c r="AH41" s="1">
        <v>1813</v>
      </c>
      <c r="AW41" s="1">
        <v>1813</v>
      </c>
    </row>
    <row r="42" spans="1:49" x14ac:dyDescent="0.25">
      <c r="A42" s="17" t="s">
        <v>171</v>
      </c>
      <c r="B42" s="17" t="s">
        <v>186</v>
      </c>
      <c r="C42" s="17">
        <v>1</v>
      </c>
      <c r="E42" s="17" t="str">
        <f t="shared" si="0"/>
        <v>Fill2</v>
      </c>
      <c r="F42" s="17" t="str">
        <f t="shared" si="1"/>
        <v>NoFill</v>
      </c>
      <c r="G42" s="17" t="str">
        <f t="shared" si="2"/>
        <v>Fill3</v>
      </c>
      <c r="H42" s="17" t="str">
        <f t="shared" si="3"/>
        <v>2.4MG</v>
      </c>
      <c r="I42" s="17">
        <f t="shared" si="4"/>
        <v>1</v>
      </c>
      <c r="J42" s="18">
        <f t="shared" si="5"/>
        <v>7.0671378091872788E-4</v>
      </c>
      <c r="M42" s="13" t="s">
        <v>216</v>
      </c>
      <c r="AB42" s="1">
        <v>94</v>
      </c>
      <c r="AC42" s="1">
        <v>48</v>
      </c>
      <c r="AD42" s="1">
        <v>38</v>
      </c>
      <c r="AE42" s="1">
        <v>78</v>
      </c>
      <c r="AF42" s="1">
        <v>66</v>
      </c>
      <c r="AG42" s="1">
        <v>22</v>
      </c>
      <c r="AH42" s="1">
        <v>346</v>
      </c>
      <c r="AW42" s="1">
        <v>346</v>
      </c>
    </row>
    <row r="43" spans="1:49" x14ac:dyDescent="0.25">
      <c r="A43" s="17" t="s">
        <v>171</v>
      </c>
      <c r="B43" s="17" t="s">
        <v>187</v>
      </c>
      <c r="C43" s="17">
        <v>1</v>
      </c>
      <c r="E43" s="17" t="str">
        <f t="shared" si="0"/>
        <v>Fill2</v>
      </c>
      <c r="F43" s="17" t="str">
        <f t="shared" si="1"/>
        <v>NoFill</v>
      </c>
      <c r="G43" s="17" t="str">
        <f t="shared" si="2"/>
        <v>Fill3</v>
      </c>
      <c r="H43" s="17" t="str">
        <f t="shared" si="3"/>
        <v>3.0MG</v>
      </c>
      <c r="I43" s="17">
        <f t="shared" si="4"/>
        <v>1</v>
      </c>
      <c r="J43" s="18">
        <f t="shared" si="5"/>
        <v>7.0671378091872788E-4</v>
      </c>
      <c r="M43" s="13" t="s">
        <v>217</v>
      </c>
      <c r="AB43" s="1">
        <v>99</v>
      </c>
      <c r="AC43" s="1">
        <v>52</v>
      </c>
      <c r="AD43" s="1">
        <v>19</v>
      </c>
      <c r="AE43" s="1">
        <v>76</v>
      </c>
      <c r="AF43" s="1">
        <v>82</v>
      </c>
      <c r="AG43" s="1">
        <v>18</v>
      </c>
      <c r="AH43" s="1">
        <v>346</v>
      </c>
      <c r="AW43" s="1">
        <v>346</v>
      </c>
    </row>
    <row r="44" spans="1:49" x14ac:dyDescent="0.25">
      <c r="A44" s="17" t="s">
        <v>172</v>
      </c>
      <c r="B44" s="17" t="s">
        <v>182</v>
      </c>
      <c r="C44" s="17">
        <v>68</v>
      </c>
      <c r="E44" s="17" t="str">
        <f t="shared" si="0"/>
        <v>Fill2</v>
      </c>
      <c r="F44" s="17" t="str">
        <f t="shared" si="1"/>
        <v>0.8MG</v>
      </c>
      <c r="G44" s="17" t="str">
        <f t="shared" si="2"/>
        <v>Fill3</v>
      </c>
      <c r="H44" s="17" t="str">
        <f t="shared" si="3"/>
        <v>NoFill</v>
      </c>
      <c r="I44" s="17">
        <f t="shared" si="4"/>
        <v>68</v>
      </c>
      <c r="J44" s="18">
        <f t="shared" si="5"/>
        <v>4.8056537102473498E-2</v>
      </c>
      <c r="M44" s="13" t="s">
        <v>218</v>
      </c>
      <c r="AB44" s="1">
        <v>66</v>
      </c>
      <c r="AC44" s="1">
        <v>44</v>
      </c>
      <c r="AD44" s="1">
        <v>89</v>
      </c>
      <c r="AE44" s="1">
        <v>84</v>
      </c>
      <c r="AF44" s="1">
        <v>86</v>
      </c>
      <c r="AG44" s="1">
        <v>91</v>
      </c>
      <c r="AH44" s="1">
        <v>460</v>
      </c>
      <c r="AW44" s="1">
        <v>460</v>
      </c>
    </row>
    <row r="45" spans="1:49" x14ac:dyDescent="0.25">
      <c r="A45" s="17" t="s">
        <v>172</v>
      </c>
      <c r="B45" s="17" t="s">
        <v>183</v>
      </c>
      <c r="C45" s="17">
        <v>7</v>
      </c>
      <c r="E45" s="17" t="str">
        <f t="shared" si="0"/>
        <v>Fill2</v>
      </c>
      <c r="F45" s="17" t="str">
        <f t="shared" si="1"/>
        <v>0.8MG</v>
      </c>
      <c r="G45" s="17" t="str">
        <f t="shared" si="2"/>
        <v>Fill3</v>
      </c>
      <c r="H45" s="17" t="str">
        <f t="shared" si="3"/>
        <v>0.8MG</v>
      </c>
      <c r="I45" s="17">
        <f t="shared" si="4"/>
        <v>7</v>
      </c>
      <c r="J45" s="18">
        <f t="shared" si="5"/>
        <v>4.9469964664310955E-3</v>
      </c>
      <c r="M45" s="13" t="s">
        <v>219</v>
      </c>
      <c r="AB45" s="1">
        <v>28</v>
      </c>
      <c r="AC45" s="1">
        <v>30</v>
      </c>
      <c r="AD45" s="1">
        <v>93</v>
      </c>
      <c r="AE45" s="1">
        <v>64</v>
      </c>
      <c r="AF45" s="1">
        <v>45</v>
      </c>
      <c r="AG45" s="1">
        <v>57</v>
      </c>
      <c r="AH45" s="1">
        <v>317</v>
      </c>
      <c r="AW45" s="1">
        <v>317</v>
      </c>
    </row>
    <row r="46" spans="1:49" x14ac:dyDescent="0.25">
      <c r="A46" s="17" t="s">
        <v>172</v>
      </c>
      <c r="B46" s="17" t="s">
        <v>184</v>
      </c>
      <c r="C46" s="17">
        <v>55</v>
      </c>
      <c r="E46" s="17" t="str">
        <f t="shared" si="0"/>
        <v>Fill2</v>
      </c>
      <c r="F46" s="17" t="str">
        <f t="shared" si="1"/>
        <v>0.8MG</v>
      </c>
      <c r="G46" s="17" t="str">
        <f t="shared" si="2"/>
        <v>Fill3</v>
      </c>
      <c r="H46" s="17" t="str">
        <f t="shared" si="3"/>
        <v>1.2MG</v>
      </c>
      <c r="I46" s="17">
        <f t="shared" si="4"/>
        <v>55</v>
      </c>
      <c r="J46" s="18">
        <f t="shared" si="5"/>
        <v>3.8869257950530034E-2</v>
      </c>
      <c r="M46" s="13" t="s">
        <v>220</v>
      </c>
      <c r="AB46" s="1">
        <v>19</v>
      </c>
      <c r="AC46" s="1">
        <v>49</v>
      </c>
      <c r="AD46" s="1">
        <v>69</v>
      </c>
      <c r="AE46" s="1">
        <v>93</v>
      </c>
      <c r="AF46" s="1">
        <v>75</v>
      </c>
      <c r="AG46" s="1">
        <v>33</v>
      </c>
      <c r="AH46" s="1">
        <v>338</v>
      </c>
      <c r="AW46" s="1">
        <v>338</v>
      </c>
    </row>
    <row r="47" spans="1:49" x14ac:dyDescent="0.25">
      <c r="A47" s="17" t="s">
        <v>172</v>
      </c>
      <c r="B47" s="17" t="s">
        <v>185</v>
      </c>
      <c r="C47" s="17">
        <v>11</v>
      </c>
      <c r="E47" s="17" t="str">
        <f t="shared" si="0"/>
        <v>Fill2</v>
      </c>
      <c r="F47" s="17" t="str">
        <f t="shared" si="1"/>
        <v>0.8MG</v>
      </c>
      <c r="G47" s="17" t="str">
        <f t="shared" si="2"/>
        <v>Fill3</v>
      </c>
      <c r="H47" s="17" t="str">
        <f t="shared" si="3"/>
        <v>1.7MG</v>
      </c>
      <c r="I47" s="17">
        <f t="shared" si="4"/>
        <v>11</v>
      </c>
      <c r="J47" s="18">
        <f t="shared" si="5"/>
        <v>7.7738515901060075E-3</v>
      </c>
      <c r="M47" s="13" t="s">
        <v>221</v>
      </c>
      <c r="AB47" s="1">
        <v>1</v>
      </c>
      <c r="AC47" s="1">
        <v>1</v>
      </c>
      <c r="AD47" s="1">
        <v>1</v>
      </c>
      <c r="AE47" s="1">
        <v>1</v>
      </c>
      <c r="AF47" s="1">
        <v>1</v>
      </c>
      <c r="AG47" s="1">
        <v>1</v>
      </c>
      <c r="AH47" s="1">
        <v>6</v>
      </c>
      <c r="AW47" s="1">
        <v>6</v>
      </c>
    </row>
    <row r="48" spans="1:49" x14ac:dyDescent="0.25">
      <c r="A48" s="17" t="s">
        <v>172</v>
      </c>
      <c r="B48" s="17" t="s">
        <v>186</v>
      </c>
      <c r="C48" s="17">
        <v>25</v>
      </c>
      <c r="E48" s="17" t="str">
        <f t="shared" si="0"/>
        <v>Fill2</v>
      </c>
      <c r="F48" s="17" t="str">
        <f t="shared" si="1"/>
        <v>0.8MG</v>
      </c>
      <c r="G48" s="17" t="str">
        <f t="shared" si="2"/>
        <v>Fill3</v>
      </c>
      <c r="H48" s="17" t="str">
        <f t="shared" si="3"/>
        <v>2.4MG</v>
      </c>
      <c r="I48" s="17">
        <f t="shared" si="4"/>
        <v>25</v>
      </c>
      <c r="J48" s="18">
        <f t="shared" si="5"/>
        <v>1.7667844522968199E-2</v>
      </c>
      <c r="M48" s="14" t="s">
        <v>213</v>
      </c>
      <c r="AI48" s="1">
        <v>261</v>
      </c>
      <c r="AJ48" s="1">
        <v>212</v>
      </c>
      <c r="AK48" s="1">
        <v>200</v>
      </c>
      <c r="AL48" s="1">
        <v>244</v>
      </c>
      <c r="AM48" s="1">
        <v>228</v>
      </c>
      <c r="AN48" s="1">
        <v>202</v>
      </c>
      <c r="AO48" s="1">
        <v>1347</v>
      </c>
      <c r="AW48" s="1">
        <v>1347</v>
      </c>
    </row>
    <row r="49" spans="1:49" x14ac:dyDescent="0.25">
      <c r="A49" s="17" t="s">
        <v>172</v>
      </c>
      <c r="B49" s="17" t="s">
        <v>187</v>
      </c>
      <c r="C49" s="17">
        <v>77</v>
      </c>
      <c r="E49" s="17" t="str">
        <f t="shared" si="0"/>
        <v>Fill2</v>
      </c>
      <c r="F49" s="17" t="str">
        <f t="shared" si="1"/>
        <v>0.8MG</v>
      </c>
      <c r="G49" s="17" t="str">
        <f t="shared" si="2"/>
        <v>Fill3</v>
      </c>
      <c r="H49" s="17" t="str">
        <f t="shared" si="3"/>
        <v>3.0MG</v>
      </c>
      <c r="I49" s="17">
        <f t="shared" si="4"/>
        <v>77</v>
      </c>
      <c r="J49" s="18">
        <f t="shared" si="5"/>
        <v>5.4416961130742049E-2</v>
      </c>
      <c r="M49" s="13" t="s">
        <v>216</v>
      </c>
      <c r="AI49" s="1">
        <v>85</v>
      </c>
      <c r="AJ49" s="1">
        <v>12</v>
      </c>
      <c r="AK49" s="1">
        <v>39</v>
      </c>
      <c r="AL49" s="1">
        <v>39</v>
      </c>
      <c r="AM49" s="1">
        <v>37</v>
      </c>
      <c r="AN49" s="1">
        <v>15</v>
      </c>
      <c r="AO49" s="1">
        <v>227</v>
      </c>
      <c r="AW49" s="1">
        <v>227</v>
      </c>
    </row>
    <row r="50" spans="1:49" x14ac:dyDescent="0.25">
      <c r="A50" s="17" t="s">
        <v>173</v>
      </c>
      <c r="B50" s="17" t="s">
        <v>182</v>
      </c>
      <c r="C50" s="17">
        <v>43</v>
      </c>
      <c r="E50" s="17" t="str">
        <f t="shared" si="0"/>
        <v>Fill2</v>
      </c>
      <c r="F50" s="17" t="str">
        <f t="shared" si="1"/>
        <v>1.2MG</v>
      </c>
      <c r="G50" s="17" t="str">
        <f t="shared" si="2"/>
        <v>Fill3</v>
      </c>
      <c r="H50" s="17" t="str">
        <f t="shared" si="3"/>
        <v>NoFill</v>
      </c>
      <c r="I50" s="17">
        <f t="shared" si="4"/>
        <v>43</v>
      </c>
      <c r="J50" s="18">
        <f t="shared" si="5"/>
        <v>3.03886925795053E-2</v>
      </c>
      <c r="M50" s="13" t="s">
        <v>217</v>
      </c>
      <c r="AI50" s="1">
        <v>45</v>
      </c>
      <c r="AJ50" s="1">
        <v>32</v>
      </c>
      <c r="AK50" s="1">
        <v>11</v>
      </c>
      <c r="AL50" s="1">
        <v>77</v>
      </c>
      <c r="AM50" s="1">
        <v>76</v>
      </c>
      <c r="AN50" s="1">
        <v>9</v>
      </c>
      <c r="AO50" s="1">
        <v>250</v>
      </c>
      <c r="AW50" s="1">
        <v>250</v>
      </c>
    </row>
    <row r="51" spans="1:49" x14ac:dyDescent="0.25">
      <c r="A51" s="17" t="s">
        <v>173</v>
      </c>
      <c r="B51" s="17" t="s">
        <v>183</v>
      </c>
      <c r="C51" s="17">
        <v>22</v>
      </c>
      <c r="E51" s="17" t="str">
        <f t="shared" si="0"/>
        <v>Fill2</v>
      </c>
      <c r="F51" s="17" t="str">
        <f t="shared" si="1"/>
        <v>1.2MG</v>
      </c>
      <c r="G51" s="17" t="str">
        <f t="shared" si="2"/>
        <v>Fill3</v>
      </c>
      <c r="H51" s="17" t="str">
        <f t="shared" si="3"/>
        <v>0.8MG</v>
      </c>
      <c r="I51" s="17">
        <f t="shared" si="4"/>
        <v>22</v>
      </c>
      <c r="J51" s="18">
        <f t="shared" si="5"/>
        <v>1.5547703180212015E-2</v>
      </c>
      <c r="M51" s="13" t="s">
        <v>218</v>
      </c>
      <c r="AI51" s="1">
        <v>38</v>
      </c>
      <c r="AJ51" s="1">
        <v>37</v>
      </c>
      <c r="AK51" s="1">
        <v>52</v>
      </c>
      <c r="AL51" s="1">
        <v>27</v>
      </c>
      <c r="AM51" s="1">
        <v>66</v>
      </c>
      <c r="AN51" s="1">
        <v>16</v>
      </c>
      <c r="AO51" s="1">
        <v>236</v>
      </c>
      <c r="AW51" s="1">
        <v>236</v>
      </c>
    </row>
    <row r="52" spans="1:49" x14ac:dyDescent="0.25">
      <c r="A52" s="17" t="s">
        <v>173</v>
      </c>
      <c r="B52" s="17" t="s">
        <v>184</v>
      </c>
      <c r="C52" s="17">
        <v>8</v>
      </c>
      <c r="E52" s="17" t="str">
        <f t="shared" si="0"/>
        <v>Fill2</v>
      </c>
      <c r="F52" s="17" t="str">
        <f t="shared" si="1"/>
        <v>1.2MG</v>
      </c>
      <c r="G52" s="17" t="str">
        <f t="shared" si="2"/>
        <v>Fill3</v>
      </c>
      <c r="H52" s="17" t="str">
        <f t="shared" si="3"/>
        <v>1.2MG</v>
      </c>
      <c r="I52" s="17">
        <f t="shared" si="4"/>
        <v>8</v>
      </c>
      <c r="J52" s="18">
        <f t="shared" si="5"/>
        <v>5.6537102473498231E-3</v>
      </c>
      <c r="M52" s="13" t="s">
        <v>219</v>
      </c>
      <c r="AI52" s="1">
        <v>41</v>
      </c>
      <c r="AJ52" s="1">
        <v>48</v>
      </c>
      <c r="AK52" s="1">
        <v>90</v>
      </c>
      <c r="AL52" s="1">
        <v>95</v>
      </c>
      <c r="AM52" s="1">
        <v>39</v>
      </c>
      <c r="AN52" s="1">
        <v>92</v>
      </c>
      <c r="AO52" s="1">
        <v>405</v>
      </c>
      <c r="AW52" s="1">
        <v>405</v>
      </c>
    </row>
    <row r="53" spans="1:49" x14ac:dyDescent="0.25">
      <c r="A53" s="17" t="s">
        <v>173</v>
      </c>
      <c r="B53" s="17" t="s">
        <v>185</v>
      </c>
      <c r="C53" s="17">
        <v>93</v>
      </c>
      <c r="E53" s="17" t="str">
        <f t="shared" si="0"/>
        <v>Fill2</v>
      </c>
      <c r="F53" s="17" t="str">
        <f t="shared" si="1"/>
        <v>1.2MG</v>
      </c>
      <c r="G53" s="17" t="str">
        <f t="shared" si="2"/>
        <v>Fill3</v>
      </c>
      <c r="H53" s="17" t="str">
        <f t="shared" si="3"/>
        <v>1.7MG</v>
      </c>
      <c r="I53" s="17">
        <f t="shared" si="4"/>
        <v>93</v>
      </c>
      <c r="J53" s="18">
        <f t="shared" si="5"/>
        <v>6.5724381625441697E-2</v>
      </c>
      <c r="M53" s="13" t="s">
        <v>220</v>
      </c>
      <c r="AI53" s="1">
        <v>51</v>
      </c>
      <c r="AJ53" s="1">
        <v>82</v>
      </c>
      <c r="AK53" s="1">
        <v>7</v>
      </c>
      <c r="AL53" s="1">
        <v>5</v>
      </c>
      <c r="AM53" s="1">
        <v>9</v>
      </c>
      <c r="AN53" s="1">
        <v>69</v>
      </c>
      <c r="AO53" s="1">
        <v>223</v>
      </c>
      <c r="AW53" s="1">
        <v>223</v>
      </c>
    </row>
    <row r="54" spans="1:49" x14ac:dyDescent="0.25">
      <c r="A54" s="17" t="s">
        <v>173</v>
      </c>
      <c r="B54" s="17" t="s">
        <v>186</v>
      </c>
      <c r="C54" s="17">
        <v>64</v>
      </c>
      <c r="E54" s="17" t="str">
        <f t="shared" si="0"/>
        <v>Fill2</v>
      </c>
      <c r="F54" s="17" t="str">
        <f t="shared" si="1"/>
        <v>1.2MG</v>
      </c>
      <c r="G54" s="17" t="str">
        <f t="shared" si="2"/>
        <v>Fill3</v>
      </c>
      <c r="H54" s="17" t="str">
        <f t="shared" si="3"/>
        <v>2.4MG</v>
      </c>
      <c r="I54" s="17">
        <f t="shared" si="4"/>
        <v>64</v>
      </c>
      <c r="J54" s="18">
        <f t="shared" si="5"/>
        <v>4.5229681978798585E-2</v>
      </c>
      <c r="M54" s="13" t="s">
        <v>221</v>
      </c>
      <c r="AI54" s="1">
        <v>1</v>
      </c>
      <c r="AJ54" s="1">
        <v>1</v>
      </c>
      <c r="AK54" s="1">
        <v>1</v>
      </c>
      <c r="AL54" s="1">
        <v>1</v>
      </c>
      <c r="AM54" s="1">
        <v>1</v>
      </c>
      <c r="AN54" s="1">
        <v>1</v>
      </c>
      <c r="AO54" s="1">
        <v>6</v>
      </c>
      <c r="AW54" s="1">
        <v>6</v>
      </c>
    </row>
    <row r="55" spans="1:49" x14ac:dyDescent="0.25">
      <c r="A55" s="17" t="s">
        <v>173</v>
      </c>
      <c r="B55" s="17" t="s">
        <v>187</v>
      </c>
      <c r="C55" s="17">
        <v>18</v>
      </c>
      <c r="E55" s="17" t="str">
        <f t="shared" si="0"/>
        <v>Fill2</v>
      </c>
      <c r="F55" s="17" t="str">
        <f t="shared" si="1"/>
        <v>1.2MG</v>
      </c>
      <c r="G55" s="17" t="str">
        <f t="shared" si="2"/>
        <v>Fill3</v>
      </c>
      <c r="H55" s="17" t="str">
        <f t="shared" si="3"/>
        <v>3.0MG</v>
      </c>
      <c r="I55" s="17">
        <f t="shared" si="4"/>
        <v>18</v>
      </c>
      <c r="J55" s="18">
        <f t="shared" si="5"/>
        <v>1.2720848056537103E-2</v>
      </c>
      <c r="M55" s="14" t="s">
        <v>214</v>
      </c>
      <c r="AP55" s="1">
        <v>264</v>
      </c>
      <c r="AQ55" s="1">
        <v>223</v>
      </c>
      <c r="AR55" s="1">
        <v>247</v>
      </c>
      <c r="AS55" s="1">
        <v>332</v>
      </c>
      <c r="AT55" s="1">
        <v>275</v>
      </c>
      <c r="AU55" s="1">
        <v>185</v>
      </c>
      <c r="AV55" s="1">
        <v>1526</v>
      </c>
      <c r="AW55" s="1">
        <v>1526</v>
      </c>
    </row>
    <row r="56" spans="1:49" x14ac:dyDescent="0.25">
      <c r="A56" s="17" t="s">
        <v>174</v>
      </c>
      <c r="B56" s="17" t="s">
        <v>182</v>
      </c>
      <c r="C56" s="17">
        <v>13</v>
      </c>
      <c r="E56" s="17" t="str">
        <f t="shared" si="0"/>
        <v>Fill2</v>
      </c>
      <c r="F56" s="17" t="str">
        <f t="shared" si="1"/>
        <v>1.7MG</v>
      </c>
      <c r="G56" s="17" t="str">
        <f t="shared" si="2"/>
        <v>Fill3</v>
      </c>
      <c r="H56" s="17" t="str">
        <f t="shared" si="3"/>
        <v>NoFill</v>
      </c>
      <c r="I56" s="17">
        <f t="shared" si="4"/>
        <v>13</v>
      </c>
      <c r="J56" s="18">
        <f t="shared" si="5"/>
        <v>9.1872791519434626E-3</v>
      </c>
      <c r="M56" s="13" t="s">
        <v>216</v>
      </c>
      <c r="AP56" s="1">
        <v>46</v>
      </c>
      <c r="AQ56" s="1">
        <v>81</v>
      </c>
      <c r="AR56" s="1">
        <v>55</v>
      </c>
      <c r="AS56" s="1">
        <v>67</v>
      </c>
      <c r="AT56" s="1">
        <v>56</v>
      </c>
      <c r="AU56" s="1">
        <v>94</v>
      </c>
      <c r="AV56" s="1">
        <v>399</v>
      </c>
      <c r="AW56" s="1">
        <v>399</v>
      </c>
    </row>
    <row r="57" spans="1:49" x14ac:dyDescent="0.25">
      <c r="A57" s="17" t="s">
        <v>174</v>
      </c>
      <c r="B57" s="17" t="s">
        <v>183</v>
      </c>
      <c r="C57" s="17">
        <v>94</v>
      </c>
      <c r="E57" s="17" t="str">
        <f t="shared" si="0"/>
        <v>Fill2</v>
      </c>
      <c r="F57" s="17" t="str">
        <f t="shared" si="1"/>
        <v>1.7MG</v>
      </c>
      <c r="G57" s="17" t="str">
        <f t="shared" si="2"/>
        <v>Fill3</v>
      </c>
      <c r="H57" s="17" t="str">
        <f t="shared" si="3"/>
        <v>0.8MG</v>
      </c>
      <c r="I57" s="17">
        <f t="shared" si="4"/>
        <v>94</v>
      </c>
      <c r="J57" s="18">
        <f t="shared" si="5"/>
        <v>6.6431095406360427E-2</v>
      </c>
      <c r="M57" s="13" t="s">
        <v>217</v>
      </c>
      <c r="AP57" s="1">
        <v>98</v>
      </c>
      <c r="AQ57" s="1">
        <v>27</v>
      </c>
      <c r="AR57" s="1">
        <v>19</v>
      </c>
      <c r="AS57" s="1">
        <v>47</v>
      </c>
      <c r="AT57" s="1">
        <v>33</v>
      </c>
      <c r="AU57" s="1">
        <v>8</v>
      </c>
      <c r="AV57" s="1">
        <v>232</v>
      </c>
      <c r="AW57" s="1">
        <v>232</v>
      </c>
    </row>
    <row r="58" spans="1:49" x14ac:dyDescent="0.25">
      <c r="A58" s="17" t="s">
        <v>174</v>
      </c>
      <c r="B58" s="17" t="s">
        <v>184</v>
      </c>
      <c r="C58" s="17">
        <v>57</v>
      </c>
      <c r="E58" s="17" t="str">
        <f t="shared" si="0"/>
        <v>Fill2</v>
      </c>
      <c r="F58" s="17" t="str">
        <f t="shared" si="1"/>
        <v>1.7MG</v>
      </c>
      <c r="G58" s="17" t="str">
        <f t="shared" si="2"/>
        <v>Fill3</v>
      </c>
      <c r="H58" s="17" t="str">
        <f t="shared" si="3"/>
        <v>1.2MG</v>
      </c>
      <c r="I58" s="17">
        <f t="shared" si="4"/>
        <v>57</v>
      </c>
      <c r="J58" s="18">
        <f t="shared" si="5"/>
        <v>4.0282685512367494E-2</v>
      </c>
      <c r="M58" s="13" t="s">
        <v>218</v>
      </c>
      <c r="AP58" s="1">
        <v>17</v>
      </c>
      <c r="AQ58" s="1">
        <v>36</v>
      </c>
      <c r="AR58" s="1">
        <v>75</v>
      </c>
      <c r="AS58" s="1">
        <v>63</v>
      </c>
      <c r="AT58" s="1">
        <v>90</v>
      </c>
      <c r="AU58" s="1">
        <v>40</v>
      </c>
      <c r="AV58" s="1">
        <v>321</v>
      </c>
      <c r="AW58" s="1">
        <v>321</v>
      </c>
    </row>
    <row r="59" spans="1:49" x14ac:dyDescent="0.25">
      <c r="A59" s="17" t="s">
        <v>174</v>
      </c>
      <c r="B59" s="17" t="s">
        <v>185</v>
      </c>
      <c r="C59" s="17">
        <v>6</v>
      </c>
      <c r="E59" s="17" t="str">
        <f t="shared" si="0"/>
        <v>Fill2</v>
      </c>
      <c r="F59" s="17" t="str">
        <f t="shared" si="1"/>
        <v>1.7MG</v>
      </c>
      <c r="G59" s="17" t="str">
        <f t="shared" si="2"/>
        <v>Fill3</v>
      </c>
      <c r="H59" s="17" t="str">
        <f t="shared" si="3"/>
        <v>1.7MG</v>
      </c>
      <c r="I59" s="17">
        <f t="shared" si="4"/>
        <v>6</v>
      </c>
      <c r="J59" s="18">
        <f t="shared" si="5"/>
        <v>4.2402826855123671E-3</v>
      </c>
      <c r="M59" s="13" t="s">
        <v>219</v>
      </c>
      <c r="AP59" s="1">
        <v>70</v>
      </c>
      <c r="AQ59" s="1">
        <v>46</v>
      </c>
      <c r="AR59" s="1">
        <v>49</v>
      </c>
      <c r="AS59" s="1">
        <v>66</v>
      </c>
      <c r="AT59" s="1">
        <v>61</v>
      </c>
      <c r="AU59" s="1">
        <v>32</v>
      </c>
      <c r="AV59" s="1">
        <v>324</v>
      </c>
      <c r="AW59" s="1">
        <v>324</v>
      </c>
    </row>
    <row r="60" spans="1:49" x14ac:dyDescent="0.25">
      <c r="A60" s="17" t="s">
        <v>174</v>
      </c>
      <c r="B60" s="17" t="s">
        <v>186</v>
      </c>
      <c r="C60" s="17">
        <v>88</v>
      </c>
      <c r="E60" s="17" t="str">
        <f t="shared" si="0"/>
        <v>Fill2</v>
      </c>
      <c r="F60" s="17" t="str">
        <f t="shared" si="1"/>
        <v>1.7MG</v>
      </c>
      <c r="G60" s="17" t="str">
        <f t="shared" si="2"/>
        <v>Fill3</v>
      </c>
      <c r="H60" s="17" t="str">
        <f t="shared" si="3"/>
        <v>2.4MG</v>
      </c>
      <c r="I60" s="17">
        <f t="shared" si="4"/>
        <v>88</v>
      </c>
      <c r="J60" s="18">
        <f t="shared" si="5"/>
        <v>6.219081272084806E-2</v>
      </c>
      <c r="M60" s="13" t="s">
        <v>220</v>
      </c>
      <c r="AP60" s="1">
        <v>32</v>
      </c>
      <c r="AQ60" s="1">
        <v>32</v>
      </c>
      <c r="AR60" s="1">
        <v>48</v>
      </c>
      <c r="AS60" s="1">
        <v>88</v>
      </c>
      <c r="AT60" s="1">
        <v>34</v>
      </c>
      <c r="AU60" s="1">
        <v>10</v>
      </c>
      <c r="AV60" s="1">
        <v>244</v>
      </c>
      <c r="AW60" s="1">
        <v>244</v>
      </c>
    </row>
    <row r="61" spans="1:49" x14ac:dyDescent="0.25">
      <c r="A61" s="17" t="s">
        <v>174</v>
      </c>
      <c r="B61" s="17" t="s">
        <v>187</v>
      </c>
      <c r="C61" s="17">
        <v>96</v>
      </c>
      <c r="E61" s="17" t="str">
        <f t="shared" si="0"/>
        <v>Fill2</v>
      </c>
      <c r="F61" s="17" t="str">
        <f t="shared" si="1"/>
        <v>1.7MG</v>
      </c>
      <c r="G61" s="17" t="str">
        <f t="shared" si="2"/>
        <v>Fill3</v>
      </c>
      <c r="H61" s="17" t="str">
        <f t="shared" si="3"/>
        <v>3.0MG</v>
      </c>
      <c r="I61" s="17">
        <f t="shared" si="4"/>
        <v>96</v>
      </c>
      <c r="J61" s="18">
        <f t="shared" si="5"/>
        <v>6.7844522968197873E-2</v>
      </c>
      <c r="M61" s="13" t="s">
        <v>221</v>
      </c>
      <c r="AP61" s="1">
        <v>1</v>
      </c>
      <c r="AQ61" s="1">
        <v>1</v>
      </c>
      <c r="AR61" s="1">
        <v>1</v>
      </c>
      <c r="AS61" s="1">
        <v>1</v>
      </c>
      <c r="AT61" s="1">
        <v>1</v>
      </c>
      <c r="AU61" s="1">
        <v>1</v>
      </c>
      <c r="AV61" s="1">
        <v>6</v>
      </c>
      <c r="AW61" s="1">
        <v>6</v>
      </c>
    </row>
    <row r="62" spans="1:49" x14ac:dyDescent="0.25">
      <c r="A62" s="17" t="s">
        <v>175</v>
      </c>
      <c r="B62" s="17" t="s">
        <v>182</v>
      </c>
      <c r="C62" s="17">
        <v>64</v>
      </c>
      <c r="E62" s="17" t="str">
        <f t="shared" si="0"/>
        <v>Fill2</v>
      </c>
      <c r="F62" s="17" t="str">
        <f t="shared" si="1"/>
        <v>2.4MG</v>
      </c>
      <c r="G62" s="17" t="str">
        <f t="shared" si="2"/>
        <v>Fill3</v>
      </c>
      <c r="H62" s="17" t="str">
        <f t="shared" si="3"/>
        <v>NoFill</v>
      </c>
      <c r="I62" s="17">
        <f t="shared" si="4"/>
        <v>64</v>
      </c>
      <c r="J62" s="18">
        <f t="shared" si="5"/>
        <v>4.5229681978798585E-2</v>
      </c>
      <c r="M62" s="14" t="s">
        <v>225</v>
      </c>
      <c r="AP62" s="1">
        <v>285</v>
      </c>
      <c r="AQ62" s="1">
        <v>352</v>
      </c>
      <c r="AR62" s="1">
        <v>164</v>
      </c>
      <c r="AS62" s="1">
        <v>271</v>
      </c>
      <c r="AT62" s="1">
        <v>193</v>
      </c>
      <c r="AU62" s="1">
        <v>164</v>
      </c>
      <c r="AV62" s="1">
        <v>1429</v>
      </c>
      <c r="AW62" s="1">
        <v>1429</v>
      </c>
    </row>
    <row r="63" spans="1:49" x14ac:dyDescent="0.25">
      <c r="A63" s="17" t="s">
        <v>175</v>
      </c>
      <c r="B63" s="17" t="s">
        <v>183</v>
      </c>
      <c r="C63" s="17">
        <v>75</v>
      </c>
      <c r="E63" s="17" t="str">
        <f t="shared" si="0"/>
        <v>Fill2</v>
      </c>
      <c r="F63" s="17" t="str">
        <f t="shared" si="1"/>
        <v>2.4MG</v>
      </c>
      <c r="G63" s="17" t="str">
        <f t="shared" si="2"/>
        <v>Fill3</v>
      </c>
      <c r="H63" s="17" t="str">
        <f t="shared" si="3"/>
        <v>0.8MG</v>
      </c>
      <c r="I63" s="17">
        <f t="shared" si="4"/>
        <v>75</v>
      </c>
      <c r="J63" s="18">
        <f t="shared" si="5"/>
        <v>5.3003533568904596E-2</v>
      </c>
      <c r="M63" s="13" t="s">
        <v>216</v>
      </c>
      <c r="AP63" s="1">
        <v>66</v>
      </c>
      <c r="AQ63" s="1">
        <v>81</v>
      </c>
      <c r="AR63" s="1">
        <v>7</v>
      </c>
      <c r="AS63" s="1">
        <v>74</v>
      </c>
      <c r="AT63" s="1">
        <v>76</v>
      </c>
      <c r="AU63" s="1">
        <v>31</v>
      </c>
      <c r="AV63" s="1">
        <v>335</v>
      </c>
      <c r="AW63" s="1">
        <v>335</v>
      </c>
    </row>
    <row r="64" spans="1:49" x14ac:dyDescent="0.25">
      <c r="A64" s="17" t="s">
        <v>175</v>
      </c>
      <c r="B64" s="17" t="s">
        <v>184</v>
      </c>
      <c r="C64" s="17">
        <v>48</v>
      </c>
      <c r="E64" s="17" t="str">
        <f t="shared" si="0"/>
        <v>Fill2</v>
      </c>
      <c r="F64" s="17" t="str">
        <f t="shared" si="1"/>
        <v>2.4MG</v>
      </c>
      <c r="G64" s="17" t="str">
        <f t="shared" si="2"/>
        <v>Fill3</v>
      </c>
      <c r="H64" s="17" t="str">
        <f t="shared" si="3"/>
        <v>1.2MG</v>
      </c>
      <c r="I64" s="17">
        <f t="shared" si="4"/>
        <v>48</v>
      </c>
      <c r="J64" s="18">
        <f t="shared" si="5"/>
        <v>3.3922261484098937E-2</v>
      </c>
      <c r="M64" s="13" t="s">
        <v>217</v>
      </c>
      <c r="AP64" s="1">
        <v>13</v>
      </c>
      <c r="AQ64" s="1">
        <v>66</v>
      </c>
      <c r="AR64" s="1">
        <v>41</v>
      </c>
      <c r="AS64" s="1">
        <v>55</v>
      </c>
      <c r="AT64" s="1">
        <v>48</v>
      </c>
      <c r="AU64" s="1">
        <v>31</v>
      </c>
      <c r="AV64" s="1">
        <v>254</v>
      </c>
      <c r="AW64" s="1">
        <v>254</v>
      </c>
    </row>
    <row r="65" spans="1:49" x14ac:dyDescent="0.25">
      <c r="A65" s="17" t="s">
        <v>175</v>
      </c>
      <c r="B65" s="17" t="s">
        <v>185</v>
      </c>
      <c r="C65" s="17">
        <v>12</v>
      </c>
      <c r="E65" s="17" t="str">
        <f t="shared" si="0"/>
        <v>Fill2</v>
      </c>
      <c r="F65" s="17" t="str">
        <f t="shared" si="1"/>
        <v>2.4MG</v>
      </c>
      <c r="G65" s="17" t="str">
        <f t="shared" si="2"/>
        <v>Fill3</v>
      </c>
      <c r="H65" s="17" t="str">
        <f t="shared" si="3"/>
        <v>1.7MG</v>
      </c>
      <c r="I65" s="17">
        <f t="shared" si="4"/>
        <v>12</v>
      </c>
      <c r="J65" s="18">
        <f t="shared" si="5"/>
        <v>8.4805653710247342E-3</v>
      </c>
      <c r="M65" s="13" t="s">
        <v>218</v>
      </c>
      <c r="AP65" s="1">
        <v>83</v>
      </c>
      <c r="AQ65" s="1">
        <v>63</v>
      </c>
      <c r="AR65" s="1">
        <v>36</v>
      </c>
      <c r="AS65" s="1">
        <v>92</v>
      </c>
      <c r="AT65" s="1">
        <v>56</v>
      </c>
      <c r="AU65" s="1">
        <v>28</v>
      </c>
      <c r="AV65" s="1">
        <v>358</v>
      </c>
      <c r="AW65" s="1">
        <v>358</v>
      </c>
    </row>
    <row r="66" spans="1:49" x14ac:dyDescent="0.25">
      <c r="A66" s="17" t="s">
        <v>175</v>
      </c>
      <c r="B66" s="17" t="s">
        <v>186</v>
      </c>
      <c r="C66" s="17">
        <v>51</v>
      </c>
      <c r="E66" s="17" t="str">
        <f t="shared" si="0"/>
        <v>Fill2</v>
      </c>
      <c r="F66" s="17" t="str">
        <f t="shared" si="1"/>
        <v>2.4MG</v>
      </c>
      <c r="G66" s="17" t="str">
        <f t="shared" si="2"/>
        <v>Fill3</v>
      </c>
      <c r="H66" s="17" t="str">
        <f t="shared" si="3"/>
        <v>2.4MG</v>
      </c>
      <c r="I66" s="17">
        <f t="shared" si="4"/>
        <v>51</v>
      </c>
      <c r="J66" s="18">
        <f t="shared" si="5"/>
        <v>3.604240282685512E-2</v>
      </c>
      <c r="M66" s="13" t="s">
        <v>219</v>
      </c>
      <c r="AP66" s="1">
        <v>62</v>
      </c>
      <c r="AQ66" s="1">
        <v>56</v>
      </c>
      <c r="AR66" s="1">
        <v>16</v>
      </c>
      <c r="AS66" s="1">
        <v>43</v>
      </c>
      <c r="AT66" s="1">
        <v>6</v>
      </c>
      <c r="AU66" s="1">
        <v>66</v>
      </c>
      <c r="AV66" s="1">
        <v>249</v>
      </c>
      <c r="AW66" s="1">
        <v>249</v>
      </c>
    </row>
    <row r="67" spans="1:49" x14ac:dyDescent="0.25">
      <c r="A67" s="17" t="s">
        <v>175</v>
      </c>
      <c r="B67" s="17" t="s">
        <v>187</v>
      </c>
      <c r="C67" s="17">
        <v>39</v>
      </c>
      <c r="E67" s="17" t="str">
        <f t="shared" ref="E67:E130" si="6">LEFT(A67,5)</f>
        <v>Fill2</v>
      </c>
      <c r="F67" s="17" t="str">
        <f t="shared" ref="F67:F130" si="7">MID(A67,FIND("_",A67)+1,LEN(A67)-FIND("_",A67))</f>
        <v>2.4MG</v>
      </c>
      <c r="G67" s="17" t="str">
        <f t="shared" ref="G67:G130" si="8">LEFT(B67,5)</f>
        <v>Fill3</v>
      </c>
      <c r="H67" s="17" t="str">
        <f t="shared" ref="H67:H130" si="9">MID(B67,FIND("_",B67)+1,LEN(B67)-FIND("_",B67))</f>
        <v>3.0MG</v>
      </c>
      <c r="I67" s="17">
        <f t="shared" ref="I67:I130" si="10">C67</f>
        <v>39</v>
      </c>
      <c r="J67" s="18">
        <f t="shared" ref="J67:J130" si="11">I67/SUMIF(E:E,E67,I:I)</f>
        <v>2.756183745583039E-2</v>
      </c>
      <c r="M67" s="13" t="s">
        <v>220</v>
      </c>
      <c r="AP67" s="1">
        <v>60</v>
      </c>
      <c r="AQ67" s="1">
        <v>85</v>
      </c>
      <c r="AR67" s="1">
        <v>63</v>
      </c>
      <c r="AS67" s="1">
        <v>6</v>
      </c>
      <c r="AT67" s="1">
        <v>6</v>
      </c>
      <c r="AU67" s="1">
        <v>7</v>
      </c>
      <c r="AV67" s="1">
        <v>227</v>
      </c>
      <c r="AW67" s="1">
        <v>227</v>
      </c>
    </row>
    <row r="68" spans="1:49" x14ac:dyDescent="0.25">
      <c r="A68" s="17" t="s">
        <v>176</v>
      </c>
      <c r="B68" s="17" t="s">
        <v>182</v>
      </c>
      <c r="C68" s="17">
        <v>82</v>
      </c>
      <c r="E68" s="17" t="str">
        <f t="shared" si="6"/>
        <v>Fill2</v>
      </c>
      <c r="F68" s="17" t="str">
        <f t="shared" si="7"/>
        <v>3.0MG</v>
      </c>
      <c r="G68" s="17" t="str">
        <f t="shared" si="8"/>
        <v>Fill3</v>
      </c>
      <c r="H68" s="17" t="str">
        <f t="shared" si="9"/>
        <v>NoFill</v>
      </c>
      <c r="I68" s="17">
        <f t="shared" si="10"/>
        <v>82</v>
      </c>
      <c r="J68" s="18">
        <f t="shared" si="11"/>
        <v>5.7950530035335686E-2</v>
      </c>
      <c r="M68" s="13" t="s">
        <v>221</v>
      </c>
      <c r="AP68" s="1">
        <v>1</v>
      </c>
      <c r="AQ68" s="1">
        <v>1</v>
      </c>
      <c r="AR68" s="1">
        <v>1</v>
      </c>
      <c r="AS68" s="1">
        <v>1</v>
      </c>
      <c r="AT68" s="1">
        <v>1</v>
      </c>
      <c r="AU68" s="1">
        <v>1</v>
      </c>
      <c r="AV68" s="1">
        <v>6</v>
      </c>
      <c r="AW68" s="1">
        <v>6</v>
      </c>
    </row>
    <row r="69" spans="1:49" x14ac:dyDescent="0.25">
      <c r="A69" s="17" t="s">
        <v>176</v>
      </c>
      <c r="B69" s="17" t="s">
        <v>183</v>
      </c>
      <c r="C69" s="17">
        <v>85</v>
      </c>
      <c r="E69" s="17" t="str">
        <f t="shared" si="6"/>
        <v>Fill2</v>
      </c>
      <c r="F69" s="17" t="str">
        <f t="shared" si="7"/>
        <v>3.0MG</v>
      </c>
      <c r="G69" s="17" t="str">
        <f t="shared" si="8"/>
        <v>Fill3</v>
      </c>
      <c r="H69" s="17" t="str">
        <f t="shared" si="9"/>
        <v>0.8MG</v>
      </c>
      <c r="I69" s="17">
        <f t="shared" si="10"/>
        <v>85</v>
      </c>
      <c r="J69" s="18">
        <f t="shared" si="11"/>
        <v>6.0070671378091869E-2</v>
      </c>
      <c r="M69" s="14" t="s">
        <v>215</v>
      </c>
      <c r="N69" s="1">
        <v>232</v>
      </c>
      <c r="O69" s="1">
        <v>327</v>
      </c>
      <c r="P69" s="1">
        <v>307</v>
      </c>
      <c r="Q69" s="1">
        <v>347</v>
      </c>
      <c r="R69" s="1">
        <v>214</v>
      </c>
      <c r="S69" s="1">
        <v>280</v>
      </c>
      <c r="T69" s="1">
        <v>1707</v>
      </c>
      <c r="U69" s="1">
        <v>284</v>
      </c>
      <c r="V69" s="1">
        <v>209</v>
      </c>
      <c r="W69" s="1">
        <v>177</v>
      </c>
      <c r="X69" s="1">
        <v>237</v>
      </c>
      <c r="Y69" s="1">
        <v>237</v>
      </c>
      <c r="Z69" s="1">
        <v>271</v>
      </c>
      <c r="AA69" s="1">
        <v>1415</v>
      </c>
      <c r="AB69" s="1">
        <v>307</v>
      </c>
      <c r="AC69" s="1">
        <v>224</v>
      </c>
      <c r="AD69" s="1">
        <v>309</v>
      </c>
      <c r="AE69" s="1">
        <v>396</v>
      </c>
      <c r="AF69" s="1">
        <v>355</v>
      </c>
      <c r="AG69" s="1">
        <v>222</v>
      </c>
      <c r="AH69" s="1">
        <v>1813</v>
      </c>
      <c r="AI69" s="1">
        <v>261</v>
      </c>
      <c r="AJ69" s="1">
        <v>212</v>
      </c>
      <c r="AK69" s="1">
        <v>200</v>
      </c>
      <c r="AL69" s="1">
        <v>244</v>
      </c>
      <c r="AM69" s="1">
        <v>228</v>
      </c>
      <c r="AN69" s="1">
        <v>202</v>
      </c>
      <c r="AO69" s="1">
        <v>1347</v>
      </c>
      <c r="AP69" s="1">
        <v>549</v>
      </c>
      <c r="AQ69" s="1">
        <v>575</v>
      </c>
      <c r="AR69" s="1">
        <v>411</v>
      </c>
      <c r="AS69" s="1">
        <v>603</v>
      </c>
      <c r="AT69" s="1">
        <v>468</v>
      </c>
      <c r="AU69" s="1">
        <v>349</v>
      </c>
      <c r="AV69" s="1">
        <v>2955</v>
      </c>
      <c r="AW69" s="1">
        <v>9237</v>
      </c>
    </row>
    <row r="70" spans="1:49" x14ac:dyDescent="0.25">
      <c r="A70" s="17" t="s">
        <v>176</v>
      </c>
      <c r="B70" s="17" t="s">
        <v>184</v>
      </c>
      <c r="C70" s="17">
        <v>40</v>
      </c>
      <c r="E70" s="17" t="str">
        <f t="shared" si="6"/>
        <v>Fill2</v>
      </c>
      <c r="F70" s="17" t="str">
        <f t="shared" si="7"/>
        <v>3.0MG</v>
      </c>
      <c r="G70" s="17" t="str">
        <f t="shared" si="8"/>
        <v>Fill3</v>
      </c>
      <c r="H70" s="17" t="str">
        <f t="shared" si="9"/>
        <v>1.2MG</v>
      </c>
      <c r="I70" s="17">
        <f t="shared" si="10"/>
        <v>40</v>
      </c>
      <c r="J70" s="18">
        <f t="shared" si="11"/>
        <v>2.8268551236749116E-2</v>
      </c>
    </row>
    <row r="71" spans="1:49" x14ac:dyDescent="0.25">
      <c r="A71" s="17" t="s">
        <v>176</v>
      </c>
      <c r="B71" s="17" t="s">
        <v>185</v>
      </c>
      <c r="C71" s="17">
        <v>54</v>
      </c>
      <c r="E71" s="17" t="str">
        <f t="shared" si="6"/>
        <v>Fill2</v>
      </c>
      <c r="F71" s="17" t="str">
        <f t="shared" si="7"/>
        <v>3.0MG</v>
      </c>
      <c r="G71" s="17" t="str">
        <f t="shared" si="8"/>
        <v>Fill3</v>
      </c>
      <c r="H71" s="17" t="str">
        <f t="shared" si="9"/>
        <v>1.7MG</v>
      </c>
      <c r="I71" s="17">
        <f t="shared" si="10"/>
        <v>54</v>
      </c>
      <c r="J71" s="18">
        <f t="shared" si="11"/>
        <v>3.8162544169611311E-2</v>
      </c>
    </row>
    <row r="72" spans="1:49" x14ac:dyDescent="0.25">
      <c r="A72" s="17" t="s">
        <v>176</v>
      </c>
      <c r="B72" s="17" t="s">
        <v>186</v>
      </c>
      <c r="C72" s="17">
        <v>8</v>
      </c>
      <c r="E72" s="17" t="str">
        <f t="shared" si="6"/>
        <v>Fill2</v>
      </c>
      <c r="F72" s="17" t="str">
        <f t="shared" si="7"/>
        <v>3.0MG</v>
      </c>
      <c r="G72" s="17" t="str">
        <f t="shared" si="8"/>
        <v>Fill3</v>
      </c>
      <c r="H72" s="17" t="str">
        <f t="shared" si="9"/>
        <v>2.4MG</v>
      </c>
      <c r="I72" s="17">
        <f t="shared" si="10"/>
        <v>8</v>
      </c>
      <c r="J72" s="18">
        <f t="shared" si="11"/>
        <v>5.6537102473498231E-3</v>
      </c>
    </row>
    <row r="73" spans="1:49" x14ac:dyDescent="0.25">
      <c r="A73" s="17" t="s">
        <v>176</v>
      </c>
      <c r="B73" s="17" t="s">
        <v>187</v>
      </c>
      <c r="C73" s="17">
        <v>6</v>
      </c>
      <c r="E73" s="17" t="str">
        <f t="shared" si="6"/>
        <v>Fill2</v>
      </c>
      <c r="F73" s="17" t="str">
        <f t="shared" si="7"/>
        <v>3.0MG</v>
      </c>
      <c r="G73" s="17" t="str">
        <f t="shared" si="8"/>
        <v>Fill3</v>
      </c>
      <c r="H73" s="17" t="str">
        <f t="shared" si="9"/>
        <v>3.0MG</v>
      </c>
      <c r="I73" s="17">
        <f t="shared" si="10"/>
        <v>6</v>
      </c>
      <c r="J73" s="18">
        <f t="shared" si="11"/>
        <v>4.2402826855123671E-3</v>
      </c>
    </row>
    <row r="74" spans="1:49" x14ac:dyDescent="0.25">
      <c r="A74" s="16" t="s">
        <v>182</v>
      </c>
      <c r="B74" s="16" t="s">
        <v>188</v>
      </c>
      <c r="C74" s="16">
        <v>1</v>
      </c>
      <c r="E74" s="17" t="str">
        <f t="shared" si="6"/>
        <v>Fill3</v>
      </c>
      <c r="F74" s="17" t="str">
        <f t="shared" si="7"/>
        <v>NoFill</v>
      </c>
      <c r="G74" s="17" t="str">
        <f t="shared" si="8"/>
        <v>Fill4</v>
      </c>
      <c r="H74" s="17" t="str">
        <f t="shared" si="9"/>
        <v>NoFill</v>
      </c>
      <c r="I74" s="17">
        <f t="shared" si="10"/>
        <v>1</v>
      </c>
      <c r="J74" s="18">
        <f t="shared" si="11"/>
        <v>5.5157198014340876E-4</v>
      </c>
    </row>
    <row r="75" spans="1:49" x14ac:dyDescent="0.25">
      <c r="A75" s="12" t="s">
        <v>182</v>
      </c>
      <c r="B75" s="12" t="s">
        <v>189</v>
      </c>
      <c r="C75" s="12">
        <v>1</v>
      </c>
      <c r="E75" s="17" t="str">
        <f t="shared" si="6"/>
        <v>Fill3</v>
      </c>
      <c r="F75" s="17" t="str">
        <f t="shared" si="7"/>
        <v>NoFill</v>
      </c>
      <c r="G75" s="17" t="str">
        <f t="shared" si="8"/>
        <v>Fill4</v>
      </c>
      <c r="H75" s="17" t="str">
        <f t="shared" si="9"/>
        <v>0.8MG</v>
      </c>
      <c r="I75" s="17">
        <f t="shared" si="10"/>
        <v>1</v>
      </c>
      <c r="J75" s="18">
        <f t="shared" si="11"/>
        <v>5.5157198014340876E-4</v>
      </c>
    </row>
    <row r="76" spans="1:49" x14ac:dyDescent="0.25">
      <c r="A76" s="12" t="s">
        <v>182</v>
      </c>
      <c r="B76" s="12" t="s">
        <v>190</v>
      </c>
      <c r="C76" s="12">
        <v>1</v>
      </c>
      <c r="E76" s="17" t="str">
        <f t="shared" si="6"/>
        <v>Fill3</v>
      </c>
      <c r="F76" s="17" t="str">
        <f t="shared" si="7"/>
        <v>NoFill</v>
      </c>
      <c r="G76" s="17" t="str">
        <f t="shared" si="8"/>
        <v>Fill4</v>
      </c>
      <c r="H76" s="17" t="str">
        <f t="shared" si="9"/>
        <v>1.2MG</v>
      </c>
      <c r="I76" s="17">
        <f t="shared" si="10"/>
        <v>1</v>
      </c>
      <c r="J76" s="18">
        <f t="shared" si="11"/>
        <v>5.5157198014340876E-4</v>
      </c>
    </row>
    <row r="77" spans="1:49" x14ac:dyDescent="0.25">
      <c r="A77" s="12" t="s">
        <v>182</v>
      </c>
      <c r="B77" s="12" t="s">
        <v>191</v>
      </c>
      <c r="C77" s="12">
        <v>1</v>
      </c>
      <c r="E77" s="17" t="str">
        <f t="shared" si="6"/>
        <v>Fill3</v>
      </c>
      <c r="F77" s="17" t="str">
        <f t="shared" si="7"/>
        <v>NoFill</v>
      </c>
      <c r="G77" s="17" t="str">
        <f t="shared" si="8"/>
        <v>Fill4</v>
      </c>
      <c r="H77" s="17" t="str">
        <f t="shared" si="9"/>
        <v>1.7MG</v>
      </c>
      <c r="I77" s="17">
        <f t="shared" si="10"/>
        <v>1</v>
      </c>
      <c r="J77" s="18">
        <f t="shared" si="11"/>
        <v>5.5157198014340876E-4</v>
      </c>
    </row>
    <row r="78" spans="1:49" x14ac:dyDescent="0.25">
      <c r="A78" s="12" t="s">
        <v>182</v>
      </c>
      <c r="B78" s="12" t="s">
        <v>192</v>
      </c>
      <c r="C78" s="12">
        <v>1</v>
      </c>
      <c r="E78" s="17" t="str">
        <f t="shared" si="6"/>
        <v>Fill3</v>
      </c>
      <c r="F78" s="17" t="str">
        <f t="shared" si="7"/>
        <v>NoFill</v>
      </c>
      <c r="G78" s="17" t="str">
        <f t="shared" si="8"/>
        <v>Fill4</v>
      </c>
      <c r="H78" s="17" t="str">
        <f t="shared" si="9"/>
        <v>2.4MG</v>
      </c>
      <c r="I78" s="17">
        <f t="shared" si="10"/>
        <v>1</v>
      </c>
      <c r="J78" s="18">
        <f t="shared" si="11"/>
        <v>5.5157198014340876E-4</v>
      </c>
    </row>
    <row r="79" spans="1:49" x14ac:dyDescent="0.25">
      <c r="A79" s="12" t="s">
        <v>182</v>
      </c>
      <c r="B79" s="12" t="s">
        <v>193</v>
      </c>
      <c r="C79" s="12">
        <v>1</v>
      </c>
      <c r="E79" s="17" t="str">
        <f t="shared" si="6"/>
        <v>Fill3</v>
      </c>
      <c r="F79" s="17" t="str">
        <f t="shared" si="7"/>
        <v>NoFill</v>
      </c>
      <c r="G79" s="17" t="str">
        <f t="shared" si="8"/>
        <v>Fill4</v>
      </c>
      <c r="H79" s="17" t="str">
        <f t="shared" si="9"/>
        <v>3.0MG</v>
      </c>
      <c r="I79" s="17">
        <f t="shared" si="10"/>
        <v>1</v>
      </c>
      <c r="J79" s="18">
        <f t="shared" si="11"/>
        <v>5.5157198014340876E-4</v>
      </c>
    </row>
    <row r="80" spans="1:49" x14ac:dyDescent="0.25">
      <c r="A80" s="12" t="s">
        <v>183</v>
      </c>
      <c r="B80" s="12" t="s">
        <v>188</v>
      </c>
      <c r="C80" s="12">
        <v>22</v>
      </c>
      <c r="E80" s="17" t="str">
        <f t="shared" si="6"/>
        <v>Fill3</v>
      </c>
      <c r="F80" s="17" t="str">
        <f t="shared" si="7"/>
        <v>0.8MG</v>
      </c>
      <c r="G80" s="17" t="str">
        <f t="shared" si="8"/>
        <v>Fill4</v>
      </c>
      <c r="H80" s="17" t="str">
        <f t="shared" si="9"/>
        <v>NoFill</v>
      </c>
      <c r="I80" s="17">
        <f t="shared" si="10"/>
        <v>22</v>
      </c>
      <c r="J80" s="18">
        <f t="shared" si="11"/>
        <v>1.2134583563154992E-2</v>
      </c>
    </row>
    <row r="81" spans="1:10" x14ac:dyDescent="0.25">
      <c r="A81" s="12" t="s">
        <v>183</v>
      </c>
      <c r="B81" s="12" t="s">
        <v>189</v>
      </c>
      <c r="C81" s="12">
        <v>94</v>
      </c>
      <c r="E81" s="17" t="str">
        <f t="shared" si="6"/>
        <v>Fill3</v>
      </c>
      <c r="F81" s="17" t="str">
        <f t="shared" si="7"/>
        <v>0.8MG</v>
      </c>
      <c r="G81" s="17" t="str">
        <f t="shared" si="8"/>
        <v>Fill4</v>
      </c>
      <c r="H81" s="17" t="str">
        <f t="shared" si="9"/>
        <v>0.8MG</v>
      </c>
      <c r="I81" s="17">
        <f t="shared" si="10"/>
        <v>94</v>
      </c>
      <c r="J81" s="18">
        <f t="shared" si="11"/>
        <v>5.1847766133480418E-2</v>
      </c>
    </row>
    <row r="82" spans="1:10" x14ac:dyDescent="0.25">
      <c r="A82" s="12" t="s">
        <v>183</v>
      </c>
      <c r="B82" s="12" t="s">
        <v>190</v>
      </c>
      <c r="C82" s="12">
        <v>48</v>
      </c>
      <c r="E82" s="17" t="str">
        <f t="shared" si="6"/>
        <v>Fill3</v>
      </c>
      <c r="F82" s="17" t="str">
        <f t="shared" si="7"/>
        <v>0.8MG</v>
      </c>
      <c r="G82" s="17" t="str">
        <f t="shared" si="8"/>
        <v>Fill4</v>
      </c>
      <c r="H82" s="17" t="str">
        <f t="shared" si="9"/>
        <v>1.2MG</v>
      </c>
      <c r="I82" s="17">
        <f t="shared" si="10"/>
        <v>48</v>
      </c>
      <c r="J82" s="18">
        <f t="shared" si="11"/>
        <v>2.6475455046883617E-2</v>
      </c>
    </row>
    <row r="83" spans="1:10" x14ac:dyDescent="0.25">
      <c r="A83" s="12" t="s">
        <v>183</v>
      </c>
      <c r="B83" s="12" t="s">
        <v>191</v>
      </c>
      <c r="C83" s="12">
        <v>38</v>
      </c>
      <c r="E83" s="17" t="str">
        <f t="shared" si="6"/>
        <v>Fill3</v>
      </c>
      <c r="F83" s="17" t="str">
        <f t="shared" si="7"/>
        <v>0.8MG</v>
      </c>
      <c r="G83" s="17" t="str">
        <f t="shared" si="8"/>
        <v>Fill4</v>
      </c>
      <c r="H83" s="17" t="str">
        <f t="shared" si="9"/>
        <v>1.7MG</v>
      </c>
      <c r="I83" s="17">
        <f t="shared" si="10"/>
        <v>38</v>
      </c>
      <c r="J83" s="18">
        <f t="shared" si="11"/>
        <v>2.0959735245449532E-2</v>
      </c>
    </row>
    <row r="84" spans="1:10" x14ac:dyDescent="0.25">
      <c r="A84" s="12" t="s">
        <v>183</v>
      </c>
      <c r="B84" s="12" t="s">
        <v>192</v>
      </c>
      <c r="C84" s="12">
        <v>78</v>
      </c>
      <c r="E84" s="17" t="str">
        <f t="shared" si="6"/>
        <v>Fill3</v>
      </c>
      <c r="F84" s="17" t="str">
        <f t="shared" si="7"/>
        <v>0.8MG</v>
      </c>
      <c r="G84" s="17" t="str">
        <f t="shared" si="8"/>
        <v>Fill4</v>
      </c>
      <c r="H84" s="17" t="str">
        <f t="shared" si="9"/>
        <v>2.4MG</v>
      </c>
      <c r="I84" s="17">
        <f t="shared" si="10"/>
        <v>78</v>
      </c>
      <c r="J84" s="18">
        <f t="shared" si="11"/>
        <v>4.3022614451185881E-2</v>
      </c>
    </row>
    <row r="85" spans="1:10" x14ac:dyDescent="0.25">
      <c r="A85" s="12" t="s">
        <v>183</v>
      </c>
      <c r="B85" s="12" t="s">
        <v>193</v>
      </c>
      <c r="C85" s="12">
        <v>66</v>
      </c>
      <c r="E85" s="17" t="str">
        <f t="shared" si="6"/>
        <v>Fill3</v>
      </c>
      <c r="F85" s="17" t="str">
        <f t="shared" si="7"/>
        <v>0.8MG</v>
      </c>
      <c r="G85" s="17" t="str">
        <f t="shared" si="8"/>
        <v>Fill4</v>
      </c>
      <c r="H85" s="17" t="str">
        <f t="shared" si="9"/>
        <v>3.0MG</v>
      </c>
      <c r="I85" s="17">
        <f t="shared" si="10"/>
        <v>66</v>
      </c>
      <c r="J85" s="18">
        <f t="shared" si="11"/>
        <v>3.6403750689464977E-2</v>
      </c>
    </row>
    <row r="86" spans="1:10" x14ac:dyDescent="0.25">
      <c r="A86" s="12" t="s">
        <v>184</v>
      </c>
      <c r="B86" s="12" t="s">
        <v>188</v>
      </c>
      <c r="C86" s="12">
        <v>18</v>
      </c>
      <c r="E86" s="17" t="str">
        <f t="shared" si="6"/>
        <v>Fill3</v>
      </c>
      <c r="F86" s="17" t="str">
        <f t="shared" si="7"/>
        <v>1.2MG</v>
      </c>
      <c r="G86" s="17" t="str">
        <f t="shared" si="8"/>
        <v>Fill4</v>
      </c>
      <c r="H86" s="17" t="str">
        <f t="shared" si="9"/>
        <v>NoFill</v>
      </c>
      <c r="I86" s="17">
        <f t="shared" si="10"/>
        <v>18</v>
      </c>
      <c r="J86" s="18">
        <f t="shared" si="11"/>
        <v>9.9282956425813564E-3</v>
      </c>
    </row>
    <row r="87" spans="1:10" x14ac:dyDescent="0.25">
      <c r="A87" s="12" t="s">
        <v>184</v>
      </c>
      <c r="B87" s="12" t="s">
        <v>189</v>
      </c>
      <c r="C87" s="12">
        <v>99</v>
      </c>
      <c r="E87" s="17" t="str">
        <f t="shared" si="6"/>
        <v>Fill3</v>
      </c>
      <c r="F87" s="17" t="str">
        <f t="shared" si="7"/>
        <v>1.2MG</v>
      </c>
      <c r="G87" s="17" t="str">
        <f t="shared" si="8"/>
        <v>Fill4</v>
      </c>
      <c r="H87" s="17" t="str">
        <f t="shared" si="9"/>
        <v>0.8MG</v>
      </c>
      <c r="I87" s="17">
        <f t="shared" si="10"/>
        <v>99</v>
      </c>
      <c r="J87" s="18">
        <f t="shared" si="11"/>
        <v>5.4605626034197462E-2</v>
      </c>
    </row>
    <row r="88" spans="1:10" x14ac:dyDescent="0.25">
      <c r="A88" s="12" t="s">
        <v>184</v>
      </c>
      <c r="B88" s="12" t="s">
        <v>190</v>
      </c>
      <c r="C88" s="12">
        <v>52</v>
      </c>
      <c r="E88" s="17" t="str">
        <f t="shared" si="6"/>
        <v>Fill3</v>
      </c>
      <c r="F88" s="17" t="str">
        <f t="shared" si="7"/>
        <v>1.2MG</v>
      </c>
      <c r="G88" s="17" t="str">
        <f t="shared" si="8"/>
        <v>Fill4</v>
      </c>
      <c r="H88" s="17" t="str">
        <f t="shared" si="9"/>
        <v>1.2MG</v>
      </c>
      <c r="I88" s="17">
        <f t="shared" si="10"/>
        <v>52</v>
      </c>
      <c r="J88" s="18">
        <f t="shared" si="11"/>
        <v>2.8681742967457253E-2</v>
      </c>
    </row>
    <row r="89" spans="1:10" x14ac:dyDescent="0.25">
      <c r="A89" s="12" t="s">
        <v>184</v>
      </c>
      <c r="B89" s="12" t="s">
        <v>191</v>
      </c>
      <c r="C89" s="12">
        <v>19</v>
      </c>
      <c r="E89" s="17" t="str">
        <f t="shared" si="6"/>
        <v>Fill3</v>
      </c>
      <c r="F89" s="17" t="str">
        <f t="shared" si="7"/>
        <v>1.2MG</v>
      </c>
      <c r="G89" s="17" t="str">
        <f t="shared" si="8"/>
        <v>Fill4</v>
      </c>
      <c r="H89" s="17" t="str">
        <f t="shared" si="9"/>
        <v>1.7MG</v>
      </c>
      <c r="I89" s="17">
        <f t="shared" si="10"/>
        <v>19</v>
      </c>
      <c r="J89" s="18">
        <f t="shared" si="11"/>
        <v>1.0479867622724766E-2</v>
      </c>
    </row>
    <row r="90" spans="1:10" x14ac:dyDescent="0.25">
      <c r="A90" s="12" t="s">
        <v>184</v>
      </c>
      <c r="B90" s="12" t="s">
        <v>192</v>
      </c>
      <c r="C90" s="12">
        <v>76</v>
      </c>
      <c r="E90" s="17" t="str">
        <f t="shared" si="6"/>
        <v>Fill3</v>
      </c>
      <c r="F90" s="17" t="str">
        <f t="shared" si="7"/>
        <v>1.2MG</v>
      </c>
      <c r="G90" s="17" t="str">
        <f t="shared" si="8"/>
        <v>Fill4</v>
      </c>
      <c r="H90" s="17" t="str">
        <f t="shared" si="9"/>
        <v>2.4MG</v>
      </c>
      <c r="I90" s="17">
        <f t="shared" si="10"/>
        <v>76</v>
      </c>
      <c r="J90" s="18">
        <f t="shared" si="11"/>
        <v>4.1919470490899065E-2</v>
      </c>
    </row>
    <row r="91" spans="1:10" x14ac:dyDescent="0.25">
      <c r="A91" s="12" t="s">
        <v>184</v>
      </c>
      <c r="B91" s="12" t="s">
        <v>193</v>
      </c>
      <c r="C91" s="12">
        <v>82</v>
      </c>
      <c r="E91" s="17" t="str">
        <f t="shared" si="6"/>
        <v>Fill3</v>
      </c>
      <c r="F91" s="17" t="str">
        <f t="shared" si="7"/>
        <v>1.2MG</v>
      </c>
      <c r="G91" s="17" t="str">
        <f t="shared" si="8"/>
        <v>Fill4</v>
      </c>
      <c r="H91" s="17" t="str">
        <f t="shared" si="9"/>
        <v>3.0MG</v>
      </c>
      <c r="I91" s="17">
        <f t="shared" si="10"/>
        <v>82</v>
      </c>
      <c r="J91" s="18">
        <f t="shared" si="11"/>
        <v>4.5228902371759513E-2</v>
      </c>
    </row>
    <row r="92" spans="1:10" x14ac:dyDescent="0.25">
      <c r="A92" s="12" t="s">
        <v>185</v>
      </c>
      <c r="B92" s="12" t="s">
        <v>188</v>
      </c>
      <c r="C92" s="12">
        <v>91</v>
      </c>
      <c r="E92" s="17" t="str">
        <f t="shared" si="6"/>
        <v>Fill3</v>
      </c>
      <c r="F92" s="17" t="str">
        <f t="shared" si="7"/>
        <v>1.7MG</v>
      </c>
      <c r="G92" s="17" t="str">
        <f t="shared" si="8"/>
        <v>Fill4</v>
      </c>
      <c r="H92" s="17" t="str">
        <f t="shared" si="9"/>
        <v>NoFill</v>
      </c>
      <c r="I92" s="17">
        <f t="shared" si="10"/>
        <v>91</v>
      </c>
      <c r="J92" s="18">
        <f t="shared" si="11"/>
        <v>5.019305019305019E-2</v>
      </c>
    </row>
    <row r="93" spans="1:10" x14ac:dyDescent="0.25">
      <c r="A93" s="12" t="s">
        <v>185</v>
      </c>
      <c r="B93" s="12" t="s">
        <v>189</v>
      </c>
      <c r="C93" s="12">
        <v>66</v>
      </c>
      <c r="E93" s="17" t="str">
        <f t="shared" si="6"/>
        <v>Fill3</v>
      </c>
      <c r="F93" s="17" t="str">
        <f t="shared" si="7"/>
        <v>1.7MG</v>
      </c>
      <c r="G93" s="17" t="str">
        <f t="shared" si="8"/>
        <v>Fill4</v>
      </c>
      <c r="H93" s="17" t="str">
        <f t="shared" si="9"/>
        <v>0.8MG</v>
      </c>
      <c r="I93" s="17">
        <f t="shared" si="10"/>
        <v>66</v>
      </c>
      <c r="J93" s="18">
        <f t="shared" si="11"/>
        <v>3.6403750689464977E-2</v>
      </c>
    </row>
    <row r="94" spans="1:10" x14ac:dyDescent="0.25">
      <c r="A94" s="12" t="s">
        <v>185</v>
      </c>
      <c r="B94" s="12" t="s">
        <v>190</v>
      </c>
      <c r="C94" s="12">
        <v>44</v>
      </c>
      <c r="E94" s="17" t="str">
        <f t="shared" si="6"/>
        <v>Fill3</v>
      </c>
      <c r="F94" s="17" t="str">
        <f t="shared" si="7"/>
        <v>1.7MG</v>
      </c>
      <c r="G94" s="17" t="str">
        <f t="shared" si="8"/>
        <v>Fill4</v>
      </c>
      <c r="H94" s="17" t="str">
        <f t="shared" si="9"/>
        <v>1.2MG</v>
      </c>
      <c r="I94" s="17">
        <f t="shared" si="10"/>
        <v>44</v>
      </c>
      <c r="J94" s="18">
        <f t="shared" si="11"/>
        <v>2.4269167126309985E-2</v>
      </c>
    </row>
    <row r="95" spans="1:10" x14ac:dyDescent="0.25">
      <c r="A95" s="12" t="s">
        <v>185</v>
      </c>
      <c r="B95" s="12" t="s">
        <v>191</v>
      </c>
      <c r="C95" s="12">
        <v>89</v>
      </c>
      <c r="E95" s="17" t="str">
        <f t="shared" si="6"/>
        <v>Fill3</v>
      </c>
      <c r="F95" s="17" t="str">
        <f t="shared" si="7"/>
        <v>1.7MG</v>
      </c>
      <c r="G95" s="17" t="str">
        <f t="shared" si="8"/>
        <v>Fill4</v>
      </c>
      <c r="H95" s="17" t="str">
        <f t="shared" si="9"/>
        <v>1.7MG</v>
      </c>
      <c r="I95" s="17">
        <f t="shared" si="10"/>
        <v>89</v>
      </c>
      <c r="J95" s="18">
        <f t="shared" si="11"/>
        <v>4.9089906232763374E-2</v>
      </c>
    </row>
    <row r="96" spans="1:10" x14ac:dyDescent="0.25">
      <c r="A96" s="12" t="s">
        <v>185</v>
      </c>
      <c r="B96" s="12" t="s">
        <v>192</v>
      </c>
      <c r="C96" s="12">
        <v>84</v>
      </c>
      <c r="E96" s="17" t="str">
        <f t="shared" si="6"/>
        <v>Fill3</v>
      </c>
      <c r="F96" s="17" t="str">
        <f t="shared" si="7"/>
        <v>1.7MG</v>
      </c>
      <c r="G96" s="17" t="str">
        <f t="shared" si="8"/>
        <v>Fill4</v>
      </c>
      <c r="H96" s="17" t="str">
        <f t="shared" si="9"/>
        <v>2.4MG</v>
      </c>
      <c r="I96" s="17">
        <f t="shared" si="10"/>
        <v>84</v>
      </c>
      <c r="J96" s="18">
        <f t="shared" si="11"/>
        <v>4.633204633204633E-2</v>
      </c>
    </row>
    <row r="97" spans="1:10" x14ac:dyDescent="0.25">
      <c r="A97" s="12" t="s">
        <v>185</v>
      </c>
      <c r="B97" s="12" t="s">
        <v>193</v>
      </c>
      <c r="C97" s="12">
        <v>86</v>
      </c>
      <c r="E97" s="17" t="str">
        <f t="shared" si="6"/>
        <v>Fill3</v>
      </c>
      <c r="F97" s="17" t="str">
        <f t="shared" si="7"/>
        <v>1.7MG</v>
      </c>
      <c r="G97" s="17" t="str">
        <f t="shared" si="8"/>
        <v>Fill4</v>
      </c>
      <c r="H97" s="17" t="str">
        <f t="shared" si="9"/>
        <v>3.0MG</v>
      </c>
      <c r="I97" s="17">
        <f t="shared" si="10"/>
        <v>86</v>
      </c>
      <c r="J97" s="18">
        <f t="shared" si="11"/>
        <v>4.7435190292333153E-2</v>
      </c>
    </row>
    <row r="98" spans="1:10" x14ac:dyDescent="0.25">
      <c r="A98" s="12" t="s">
        <v>186</v>
      </c>
      <c r="B98" s="12" t="s">
        <v>188</v>
      </c>
      <c r="C98" s="12">
        <v>57</v>
      </c>
      <c r="E98" s="17" t="str">
        <f t="shared" si="6"/>
        <v>Fill3</v>
      </c>
      <c r="F98" s="17" t="str">
        <f t="shared" si="7"/>
        <v>2.4MG</v>
      </c>
      <c r="G98" s="17" t="str">
        <f t="shared" si="8"/>
        <v>Fill4</v>
      </c>
      <c r="H98" s="17" t="str">
        <f t="shared" si="9"/>
        <v>NoFill</v>
      </c>
      <c r="I98" s="17">
        <f t="shared" si="10"/>
        <v>57</v>
      </c>
      <c r="J98" s="18">
        <f t="shared" si="11"/>
        <v>3.1439602868174293E-2</v>
      </c>
    </row>
    <row r="99" spans="1:10" x14ac:dyDescent="0.25">
      <c r="A99" s="12" t="s">
        <v>186</v>
      </c>
      <c r="B99" s="12" t="s">
        <v>189</v>
      </c>
      <c r="C99" s="12">
        <v>28</v>
      </c>
      <c r="E99" s="17" t="str">
        <f t="shared" si="6"/>
        <v>Fill3</v>
      </c>
      <c r="F99" s="17" t="str">
        <f t="shared" si="7"/>
        <v>2.4MG</v>
      </c>
      <c r="G99" s="17" t="str">
        <f t="shared" si="8"/>
        <v>Fill4</v>
      </c>
      <c r="H99" s="17" t="str">
        <f t="shared" si="9"/>
        <v>0.8MG</v>
      </c>
      <c r="I99" s="17">
        <f t="shared" si="10"/>
        <v>28</v>
      </c>
      <c r="J99" s="18">
        <f t="shared" si="11"/>
        <v>1.5444015444015444E-2</v>
      </c>
    </row>
    <row r="100" spans="1:10" x14ac:dyDescent="0.25">
      <c r="A100" s="12" t="s">
        <v>186</v>
      </c>
      <c r="B100" s="12" t="s">
        <v>190</v>
      </c>
      <c r="C100" s="12">
        <v>30</v>
      </c>
      <c r="E100" s="17" t="str">
        <f t="shared" si="6"/>
        <v>Fill3</v>
      </c>
      <c r="F100" s="17" t="str">
        <f t="shared" si="7"/>
        <v>2.4MG</v>
      </c>
      <c r="G100" s="17" t="str">
        <f t="shared" si="8"/>
        <v>Fill4</v>
      </c>
      <c r="H100" s="17" t="str">
        <f t="shared" si="9"/>
        <v>1.2MG</v>
      </c>
      <c r="I100" s="17">
        <f t="shared" si="10"/>
        <v>30</v>
      </c>
      <c r="J100" s="18">
        <f t="shared" si="11"/>
        <v>1.6547159404302261E-2</v>
      </c>
    </row>
    <row r="101" spans="1:10" x14ac:dyDescent="0.25">
      <c r="A101" s="12" t="s">
        <v>186</v>
      </c>
      <c r="B101" s="12" t="s">
        <v>191</v>
      </c>
      <c r="C101" s="12">
        <v>93</v>
      </c>
      <c r="E101" s="17" t="str">
        <f t="shared" si="6"/>
        <v>Fill3</v>
      </c>
      <c r="F101" s="17" t="str">
        <f t="shared" si="7"/>
        <v>2.4MG</v>
      </c>
      <c r="G101" s="17" t="str">
        <f t="shared" si="8"/>
        <v>Fill4</v>
      </c>
      <c r="H101" s="17" t="str">
        <f t="shared" si="9"/>
        <v>1.7MG</v>
      </c>
      <c r="I101" s="17">
        <f t="shared" si="10"/>
        <v>93</v>
      </c>
      <c r="J101" s="18">
        <f t="shared" si="11"/>
        <v>5.1296194153337013E-2</v>
      </c>
    </row>
    <row r="102" spans="1:10" x14ac:dyDescent="0.25">
      <c r="A102" s="12" t="s">
        <v>186</v>
      </c>
      <c r="B102" s="12" t="s">
        <v>192</v>
      </c>
      <c r="C102" s="12">
        <v>64</v>
      </c>
      <c r="E102" s="17" t="str">
        <f t="shared" si="6"/>
        <v>Fill3</v>
      </c>
      <c r="F102" s="17" t="str">
        <f t="shared" si="7"/>
        <v>2.4MG</v>
      </c>
      <c r="G102" s="17" t="str">
        <f t="shared" si="8"/>
        <v>Fill4</v>
      </c>
      <c r="H102" s="17" t="str">
        <f t="shared" si="9"/>
        <v>2.4MG</v>
      </c>
      <c r="I102" s="17">
        <f t="shared" si="10"/>
        <v>64</v>
      </c>
      <c r="J102" s="18">
        <f t="shared" si="11"/>
        <v>3.5300606729178161E-2</v>
      </c>
    </row>
    <row r="103" spans="1:10" x14ac:dyDescent="0.25">
      <c r="A103" s="12" t="s">
        <v>186</v>
      </c>
      <c r="B103" s="12" t="s">
        <v>193</v>
      </c>
      <c r="C103" s="12">
        <v>45</v>
      </c>
      <c r="E103" s="17" t="str">
        <f t="shared" si="6"/>
        <v>Fill3</v>
      </c>
      <c r="F103" s="17" t="str">
        <f t="shared" si="7"/>
        <v>2.4MG</v>
      </c>
      <c r="G103" s="17" t="str">
        <f t="shared" si="8"/>
        <v>Fill4</v>
      </c>
      <c r="H103" s="17" t="str">
        <f t="shared" si="9"/>
        <v>3.0MG</v>
      </c>
      <c r="I103" s="17">
        <f t="shared" si="10"/>
        <v>45</v>
      </c>
      <c r="J103" s="18">
        <f t="shared" si="11"/>
        <v>2.4820739106453393E-2</v>
      </c>
    </row>
    <row r="104" spans="1:10" x14ac:dyDescent="0.25">
      <c r="A104" s="12" t="s">
        <v>187</v>
      </c>
      <c r="B104" s="12" t="s">
        <v>188</v>
      </c>
      <c r="C104" s="12">
        <v>33</v>
      </c>
      <c r="E104" s="17" t="str">
        <f t="shared" si="6"/>
        <v>Fill3</v>
      </c>
      <c r="F104" s="17" t="str">
        <f t="shared" si="7"/>
        <v>3.0MG</v>
      </c>
      <c r="G104" s="17" t="str">
        <f t="shared" si="8"/>
        <v>Fill4</v>
      </c>
      <c r="H104" s="17" t="str">
        <f t="shared" si="9"/>
        <v>NoFill</v>
      </c>
      <c r="I104" s="17">
        <f t="shared" si="10"/>
        <v>33</v>
      </c>
      <c r="J104" s="18">
        <f t="shared" si="11"/>
        <v>1.8201875344732488E-2</v>
      </c>
    </row>
    <row r="105" spans="1:10" x14ac:dyDescent="0.25">
      <c r="A105" s="12" t="s">
        <v>187</v>
      </c>
      <c r="B105" s="12" t="s">
        <v>189</v>
      </c>
      <c r="C105" s="12">
        <v>19</v>
      </c>
      <c r="E105" s="17" t="str">
        <f t="shared" si="6"/>
        <v>Fill3</v>
      </c>
      <c r="F105" s="17" t="str">
        <f t="shared" si="7"/>
        <v>3.0MG</v>
      </c>
      <c r="G105" s="17" t="str">
        <f t="shared" si="8"/>
        <v>Fill4</v>
      </c>
      <c r="H105" s="17" t="str">
        <f t="shared" si="9"/>
        <v>0.8MG</v>
      </c>
      <c r="I105" s="17">
        <f t="shared" si="10"/>
        <v>19</v>
      </c>
      <c r="J105" s="18">
        <f t="shared" si="11"/>
        <v>1.0479867622724766E-2</v>
      </c>
    </row>
    <row r="106" spans="1:10" x14ac:dyDescent="0.25">
      <c r="A106" s="12" t="s">
        <v>187</v>
      </c>
      <c r="B106" s="12" t="s">
        <v>190</v>
      </c>
      <c r="C106" s="12">
        <v>49</v>
      </c>
      <c r="E106" s="17" t="str">
        <f t="shared" si="6"/>
        <v>Fill3</v>
      </c>
      <c r="F106" s="17" t="str">
        <f t="shared" si="7"/>
        <v>3.0MG</v>
      </c>
      <c r="G106" s="17" t="str">
        <f t="shared" si="8"/>
        <v>Fill4</v>
      </c>
      <c r="H106" s="17" t="str">
        <f t="shared" si="9"/>
        <v>1.2MG</v>
      </c>
      <c r="I106" s="17">
        <f t="shared" si="10"/>
        <v>49</v>
      </c>
      <c r="J106" s="18">
        <f t="shared" si="11"/>
        <v>2.7027027027027029E-2</v>
      </c>
    </row>
    <row r="107" spans="1:10" x14ac:dyDescent="0.25">
      <c r="A107" s="12" t="s">
        <v>187</v>
      </c>
      <c r="B107" s="12" t="s">
        <v>191</v>
      </c>
      <c r="C107" s="12">
        <v>69</v>
      </c>
      <c r="E107" s="17" t="str">
        <f t="shared" si="6"/>
        <v>Fill3</v>
      </c>
      <c r="F107" s="17" t="str">
        <f t="shared" si="7"/>
        <v>3.0MG</v>
      </c>
      <c r="G107" s="17" t="str">
        <f t="shared" si="8"/>
        <v>Fill4</v>
      </c>
      <c r="H107" s="17" t="str">
        <f t="shared" si="9"/>
        <v>1.7MG</v>
      </c>
      <c r="I107" s="17">
        <f t="shared" si="10"/>
        <v>69</v>
      </c>
      <c r="J107" s="18">
        <f t="shared" si="11"/>
        <v>3.8058466629895205E-2</v>
      </c>
    </row>
    <row r="108" spans="1:10" x14ac:dyDescent="0.25">
      <c r="A108" s="12" t="s">
        <v>187</v>
      </c>
      <c r="B108" s="12" t="s">
        <v>192</v>
      </c>
      <c r="C108" s="12">
        <v>93</v>
      </c>
      <c r="E108" s="17" t="str">
        <f t="shared" si="6"/>
        <v>Fill3</v>
      </c>
      <c r="F108" s="17" t="str">
        <f t="shared" si="7"/>
        <v>3.0MG</v>
      </c>
      <c r="G108" s="17" t="str">
        <f t="shared" si="8"/>
        <v>Fill4</v>
      </c>
      <c r="H108" s="17" t="str">
        <f t="shared" si="9"/>
        <v>2.4MG</v>
      </c>
      <c r="I108" s="17">
        <f t="shared" si="10"/>
        <v>93</v>
      </c>
      <c r="J108" s="18">
        <f t="shared" si="11"/>
        <v>5.1296194153337013E-2</v>
      </c>
    </row>
    <row r="109" spans="1:10" x14ac:dyDescent="0.25">
      <c r="A109" s="12" t="s">
        <v>187</v>
      </c>
      <c r="B109" s="12" t="s">
        <v>193</v>
      </c>
      <c r="C109" s="12">
        <v>75</v>
      </c>
      <c r="E109" s="17" t="str">
        <f t="shared" si="6"/>
        <v>Fill3</v>
      </c>
      <c r="F109" s="17" t="str">
        <f t="shared" si="7"/>
        <v>3.0MG</v>
      </c>
      <c r="G109" s="17" t="str">
        <f t="shared" si="8"/>
        <v>Fill4</v>
      </c>
      <c r="H109" s="17" t="str">
        <f t="shared" si="9"/>
        <v>3.0MG</v>
      </c>
      <c r="I109" s="17">
        <f t="shared" si="10"/>
        <v>75</v>
      </c>
      <c r="J109" s="18">
        <f t="shared" si="11"/>
        <v>4.1367898510755653E-2</v>
      </c>
    </row>
    <row r="110" spans="1:10" x14ac:dyDescent="0.25">
      <c r="A110" s="12" t="s">
        <v>188</v>
      </c>
      <c r="B110" s="12" t="s">
        <v>194</v>
      </c>
      <c r="C110" s="12">
        <v>1</v>
      </c>
      <c r="E110" s="17" t="str">
        <f t="shared" si="6"/>
        <v>Fill4</v>
      </c>
      <c r="F110" s="17" t="str">
        <f t="shared" si="7"/>
        <v>NoFill</v>
      </c>
      <c r="G110" s="17" t="str">
        <f t="shared" si="8"/>
        <v>Fill5</v>
      </c>
      <c r="H110" s="17" t="str">
        <f t="shared" si="9"/>
        <v>NoFill</v>
      </c>
      <c r="I110" s="17">
        <f t="shared" si="10"/>
        <v>1</v>
      </c>
      <c r="J110" s="18">
        <f t="shared" si="11"/>
        <v>7.4239049740163323E-4</v>
      </c>
    </row>
    <row r="111" spans="1:10" x14ac:dyDescent="0.25">
      <c r="A111" s="12" t="s">
        <v>188</v>
      </c>
      <c r="B111" s="12" t="s">
        <v>195</v>
      </c>
      <c r="C111" s="12">
        <v>1</v>
      </c>
      <c r="E111" s="17" t="str">
        <f t="shared" si="6"/>
        <v>Fill4</v>
      </c>
      <c r="F111" s="17" t="str">
        <f t="shared" si="7"/>
        <v>NoFill</v>
      </c>
      <c r="G111" s="17" t="str">
        <f t="shared" si="8"/>
        <v>Fill5</v>
      </c>
      <c r="H111" s="17" t="str">
        <f t="shared" si="9"/>
        <v>0.8MG</v>
      </c>
      <c r="I111" s="17">
        <f t="shared" si="10"/>
        <v>1</v>
      </c>
      <c r="J111" s="18">
        <f t="shared" si="11"/>
        <v>7.4239049740163323E-4</v>
      </c>
    </row>
    <row r="112" spans="1:10" x14ac:dyDescent="0.25">
      <c r="A112" s="12" t="s">
        <v>188</v>
      </c>
      <c r="B112" s="12" t="s">
        <v>196</v>
      </c>
      <c r="C112" s="12">
        <v>1</v>
      </c>
      <c r="E112" s="17" t="str">
        <f t="shared" si="6"/>
        <v>Fill4</v>
      </c>
      <c r="F112" s="17" t="str">
        <f t="shared" si="7"/>
        <v>NoFill</v>
      </c>
      <c r="G112" s="17" t="str">
        <f t="shared" si="8"/>
        <v>Fill5</v>
      </c>
      <c r="H112" s="17" t="str">
        <f t="shared" si="9"/>
        <v>1.2MG</v>
      </c>
      <c r="I112" s="17">
        <f t="shared" si="10"/>
        <v>1</v>
      </c>
      <c r="J112" s="18">
        <f t="shared" si="11"/>
        <v>7.4239049740163323E-4</v>
      </c>
    </row>
    <row r="113" spans="1:10" x14ac:dyDescent="0.25">
      <c r="A113" s="12" t="s">
        <v>188</v>
      </c>
      <c r="B113" s="12" t="s">
        <v>197</v>
      </c>
      <c r="C113" s="12">
        <v>1</v>
      </c>
      <c r="E113" s="17" t="str">
        <f t="shared" si="6"/>
        <v>Fill4</v>
      </c>
      <c r="F113" s="17" t="str">
        <f t="shared" si="7"/>
        <v>NoFill</v>
      </c>
      <c r="G113" s="17" t="str">
        <f t="shared" si="8"/>
        <v>Fill5</v>
      </c>
      <c r="H113" s="17" t="str">
        <f t="shared" si="9"/>
        <v>1.7MG</v>
      </c>
      <c r="I113" s="17">
        <f t="shared" si="10"/>
        <v>1</v>
      </c>
      <c r="J113" s="18">
        <f t="shared" si="11"/>
        <v>7.4239049740163323E-4</v>
      </c>
    </row>
    <row r="114" spans="1:10" x14ac:dyDescent="0.25">
      <c r="A114" s="12" t="s">
        <v>188</v>
      </c>
      <c r="B114" s="12" t="s">
        <v>198</v>
      </c>
      <c r="C114" s="12">
        <v>1</v>
      </c>
      <c r="E114" s="17" t="str">
        <f t="shared" si="6"/>
        <v>Fill4</v>
      </c>
      <c r="F114" s="17" t="str">
        <f t="shared" si="7"/>
        <v>NoFill</v>
      </c>
      <c r="G114" s="17" t="str">
        <f t="shared" si="8"/>
        <v>Fill5</v>
      </c>
      <c r="H114" s="17" t="str">
        <f t="shared" si="9"/>
        <v>2.4MG</v>
      </c>
      <c r="I114" s="17">
        <f t="shared" si="10"/>
        <v>1</v>
      </c>
      <c r="J114" s="18">
        <f t="shared" si="11"/>
        <v>7.4239049740163323E-4</v>
      </c>
    </row>
    <row r="115" spans="1:10" x14ac:dyDescent="0.25">
      <c r="A115" s="12" t="s">
        <v>188</v>
      </c>
      <c r="B115" s="12" t="s">
        <v>199</v>
      </c>
      <c r="C115" s="12">
        <v>1</v>
      </c>
      <c r="E115" s="17" t="str">
        <f t="shared" si="6"/>
        <v>Fill4</v>
      </c>
      <c r="F115" s="17" t="str">
        <f t="shared" si="7"/>
        <v>NoFill</v>
      </c>
      <c r="G115" s="17" t="str">
        <f t="shared" si="8"/>
        <v>Fill5</v>
      </c>
      <c r="H115" s="17" t="str">
        <f t="shared" si="9"/>
        <v>3.0MG</v>
      </c>
      <c r="I115" s="17">
        <f t="shared" si="10"/>
        <v>1</v>
      </c>
      <c r="J115" s="18">
        <f t="shared" si="11"/>
        <v>7.4239049740163323E-4</v>
      </c>
    </row>
    <row r="116" spans="1:10" x14ac:dyDescent="0.25">
      <c r="A116" s="12" t="s">
        <v>189</v>
      </c>
      <c r="B116" s="12" t="s">
        <v>194</v>
      </c>
      <c r="C116" s="12">
        <v>15</v>
      </c>
      <c r="E116" s="17" t="str">
        <f t="shared" si="6"/>
        <v>Fill4</v>
      </c>
      <c r="F116" s="17" t="str">
        <f t="shared" si="7"/>
        <v>0.8MG</v>
      </c>
      <c r="G116" s="17" t="str">
        <f t="shared" si="8"/>
        <v>Fill5</v>
      </c>
      <c r="H116" s="17" t="str">
        <f t="shared" si="9"/>
        <v>NoFill</v>
      </c>
      <c r="I116" s="17">
        <f t="shared" si="10"/>
        <v>15</v>
      </c>
      <c r="J116" s="18">
        <f t="shared" si="11"/>
        <v>1.1135857461024499E-2</v>
      </c>
    </row>
    <row r="117" spans="1:10" x14ac:dyDescent="0.25">
      <c r="A117" s="12" t="s">
        <v>189</v>
      </c>
      <c r="B117" s="12" t="s">
        <v>195</v>
      </c>
      <c r="C117" s="12">
        <v>85</v>
      </c>
      <c r="E117" s="17" t="str">
        <f t="shared" si="6"/>
        <v>Fill4</v>
      </c>
      <c r="F117" s="17" t="str">
        <f t="shared" si="7"/>
        <v>0.8MG</v>
      </c>
      <c r="G117" s="17" t="str">
        <f t="shared" si="8"/>
        <v>Fill5</v>
      </c>
      <c r="H117" s="17" t="str">
        <f t="shared" si="9"/>
        <v>0.8MG</v>
      </c>
      <c r="I117" s="17">
        <f t="shared" si="10"/>
        <v>85</v>
      </c>
      <c r="J117" s="18">
        <f t="shared" si="11"/>
        <v>6.3103192279138826E-2</v>
      </c>
    </row>
    <row r="118" spans="1:10" x14ac:dyDescent="0.25">
      <c r="A118" s="12" t="s">
        <v>189</v>
      </c>
      <c r="B118" s="12" t="s">
        <v>196</v>
      </c>
      <c r="C118" s="12">
        <v>12</v>
      </c>
      <c r="E118" s="17" t="str">
        <f t="shared" si="6"/>
        <v>Fill4</v>
      </c>
      <c r="F118" s="17" t="str">
        <f t="shared" si="7"/>
        <v>0.8MG</v>
      </c>
      <c r="G118" s="17" t="str">
        <f t="shared" si="8"/>
        <v>Fill5</v>
      </c>
      <c r="H118" s="17" t="str">
        <f t="shared" si="9"/>
        <v>1.2MG</v>
      </c>
      <c r="I118" s="17">
        <f t="shared" si="10"/>
        <v>12</v>
      </c>
      <c r="J118" s="18">
        <f t="shared" si="11"/>
        <v>8.9086859688195987E-3</v>
      </c>
    </row>
    <row r="119" spans="1:10" x14ac:dyDescent="0.25">
      <c r="A119" s="12" t="s">
        <v>189</v>
      </c>
      <c r="B119" s="12" t="s">
        <v>197</v>
      </c>
      <c r="C119" s="12">
        <v>39</v>
      </c>
      <c r="E119" s="17" t="str">
        <f t="shared" si="6"/>
        <v>Fill4</v>
      </c>
      <c r="F119" s="17" t="str">
        <f t="shared" si="7"/>
        <v>0.8MG</v>
      </c>
      <c r="G119" s="17" t="str">
        <f t="shared" si="8"/>
        <v>Fill5</v>
      </c>
      <c r="H119" s="17" t="str">
        <f t="shared" si="9"/>
        <v>1.7MG</v>
      </c>
      <c r="I119" s="17">
        <f t="shared" si="10"/>
        <v>39</v>
      </c>
      <c r="J119" s="18">
        <f t="shared" si="11"/>
        <v>2.8953229398663696E-2</v>
      </c>
    </row>
    <row r="120" spans="1:10" x14ac:dyDescent="0.25">
      <c r="A120" s="12" t="s">
        <v>189</v>
      </c>
      <c r="B120" s="12" t="s">
        <v>198</v>
      </c>
      <c r="C120" s="12">
        <v>39</v>
      </c>
      <c r="E120" s="17" t="str">
        <f t="shared" si="6"/>
        <v>Fill4</v>
      </c>
      <c r="F120" s="17" t="str">
        <f t="shared" si="7"/>
        <v>0.8MG</v>
      </c>
      <c r="G120" s="17" t="str">
        <f t="shared" si="8"/>
        <v>Fill5</v>
      </c>
      <c r="H120" s="17" t="str">
        <f t="shared" si="9"/>
        <v>2.4MG</v>
      </c>
      <c r="I120" s="17">
        <f t="shared" si="10"/>
        <v>39</v>
      </c>
      <c r="J120" s="18">
        <f t="shared" si="11"/>
        <v>2.8953229398663696E-2</v>
      </c>
    </row>
    <row r="121" spans="1:10" x14ac:dyDescent="0.25">
      <c r="A121" s="12" t="s">
        <v>189</v>
      </c>
      <c r="B121" s="12" t="s">
        <v>199</v>
      </c>
      <c r="C121" s="12">
        <v>37</v>
      </c>
      <c r="E121" s="17" t="str">
        <f t="shared" si="6"/>
        <v>Fill4</v>
      </c>
      <c r="F121" s="17" t="str">
        <f t="shared" si="7"/>
        <v>0.8MG</v>
      </c>
      <c r="G121" s="17" t="str">
        <f t="shared" si="8"/>
        <v>Fill5</v>
      </c>
      <c r="H121" s="17" t="str">
        <f t="shared" si="9"/>
        <v>3.0MG</v>
      </c>
      <c r="I121" s="17">
        <f t="shared" si="10"/>
        <v>37</v>
      </c>
      <c r="J121" s="18">
        <f t="shared" si="11"/>
        <v>2.7468448403860431E-2</v>
      </c>
    </row>
    <row r="122" spans="1:10" x14ac:dyDescent="0.25">
      <c r="A122" s="12" t="s">
        <v>190</v>
      </c>
      <c r="B122" s="12" t="s">
        <v>194</v>
      </c>
      <c r="C122" s="12">
        <v>9</v>
      </c>
      <c r="E122" s="17" t="str">
        <f t="shared" si="6"/>
        <v>Fill4</v>
      </c>
      <c r="F122" s="17" t="str">
        <f t="shared" si="7"/>
        <v>1.2MG</v>
      </c>
      <c r="G122" s="17" t="str">
        <f t="shared" si="8"/>
        <v>Fill5</v>
      </c>
      <c r="H122" s="17" t="str">
        <f t="shared" si="9"/>
        <v>NoFill</v>
      </c>
      <c r="I122" s="17">
        <f t="shared" si="10"/>
        <v>9</v>
      </c>
      <c r="J122" s="18">
        <f t="shared" si="11"/>
        <v>6.6815144766146995E-3</v>
      </c>
    </row>
    <row r="123" spans="1:10" x14ac:dyDescent="0.25">
      <c r="A123" s="12" t="s">
        <v>190</v>
      </c>
      <c r="B123" s="12" t="s">
        <v>195</v>
      </c>
      <c r="C123" s="12">
        <v>45</v>
      </c>
      <c r="E123" s="17" t="str">
        <f t="shared" si="6"/>
        <v>Fill4</v>
      </c>
      <c r="F123" s="17" t="str">
        <f t="shared" si="7"/>
        <v>1.2MG</v>
      </c>
      <c r="G123" s="17" t="str">
        <f t="shared" si="8"/>
        <v>Fill5</v>
      </c>
      <c r="H123" s="17" t="str">
        <f t="shared" si="9"/>
        <v>0.8MG</v>
      </c>
      <c r="I123" s="17">
        <f t="shared" si="10"/>
        <v>45</v>
      </c>
      <c r="J123" s="18">
        <f t="shared" si="11"/>
        <v>3.34075723830735E-2</v>
      </c>
    </row>
    <row r="124" spans="1:10" x14ac:dyDescent="0.25">
      <c r="A124" s="12" t="s">
        <v>190</v>
      </c>
      <c r="B124" s="12" t="s">
        <v>196</v>
      </c>
      <c r="C124" s="12">
        <v>32</v>
      </c>
      <c r="E124" s="17" t="str">
        <f t="shared" si="6"/>
        <v>Fill4</v>
      </c>
      <c r="F124" s="17" t="str">
        <f t="shared" si="7"/>
        <v>1.2MG</v>
      </c>
      <c r="G124" s="17" t="str">
        <f t="shared" si="8"/>
        <v>Fill5</v>
      </c>
      <c r="H124" s="17" t="str">
        <f t="shared" si="9"/>
        <v>1.2MG</v>
      </c>
      <c r="I124" s="17">
        <f t="shared" si="10"/>
        <v>32</v>
      </c>
      <c r="J124" s="18">
        <f t="shared" si="11"/>
        <v>2.3756495916852263E-2</v>
      </c>
    </row>
    <row r="125" spans="1:10" x14ac:dyDescent="0.25">
      <c r="A125" s="12" t="s">
        <v>190</v>
      </c>
      <c r="B125" s="12" t="s">
        <v>197</v>
      </c>
      <c r="C125" s="12">
        <v>11</v>
      </c>
      <c r="E125" s="17" t="str">
        <f t="shared" si="6"/>
        <v>Fill4</v>
      </c>
      <c r="F125" s="17" t="str">
        <f t="shared" si="7"/>
        <v>1.2MG</v>
      </c>
      <c r="G125" s="17" t="str">
        <f t="shared" si="8"/>
        <v>Fill5</v>
      </c>
      <c r="H125" s="17" t="str">
        <f t="shared" si="9"/>
        <v>1.7MG</v>
      </c>
      <c r="I125" s="17">
        <f t="shared" si="10"/>
        <v>11</v>
      </c>
      <c r="J125" s="18">
        <f t="shared" si="11"/>
        <v>8.1662954714179659E-3</v>
      </c>
    </row>
    <row r="126" spans="1:10" x14ac:dyDescent="0.25">
      <c r="A126" s="12" t="s">
        <v>190</v>
      </c>
      <c r="B126" s="12" t="s">
        <v>198</v>
      </c>
      <c r="C126" s="12">
        <v>77</v>
      </c>
      <c r="E126" s="17" t="str">
        <f t="shared" si="6"/>
        <v>Fill4</v>
      </c>
      <c r="F126" s="17" t="str">
        <f t="shared" si="7"/>
        <v>1.2MG</v>
      </c>
      <c r="G126" s="17" t="str">
        <f t="shared" si="8"/>
        <v>Fill5</v>
      </c>
      <c r="H126" s="17" t="str">
        <f t="shared" si="9"/>
        <v>2.4MG</v>
      </c>
      <c r="I126" s="17">
        <f t="shared" si="10"/>
        <v>77</v>
      </c>
      <c r="J126" s="18">
        <f t="shared" si="11"/>
        <v>5.7164068299925763E-2</v>
      </c>
    </row>
    <row r="127" spans="1:10" x14ac:dyDescent="0.25">
      <c r="A127" s="12" t="s">
        <v>190</v>
      </c>
      <c r="B127" s="12" t="s">
        <v>199</v>
      </c>
      <c r="C127" s="12">
        <v>76</v>
      </c>
      <c r="E127" s="17" t="str">
        <f t="shared" si="6"/>
        <v>Fill4</v>
      </c>
      <c r="F127" s="17" t="str">
        <f t="shared" si="7"/>
        <v>1.2MG</v>
      </c>
      <c r="G127" s="17" t="str">
        <f t="shared" si="8"/>
        <v>Fill5</v>
      </c>
      <c r="H127" s="17" t="str">
        <f t="shared" si="9"/>
        <v>3.0MG</v>
      </c>
      <c r="I127" s="17">
        <f t="shared" si="10"/>
        <v>76</v>
      </c>
      <c r="J127" s="18">
        <f t="shared" si="11"/>
        <v>5.6421677802524127E-2</v>
      </c>
    </row>
    <row r="128" spans="1:10" x14ac:dyDescent="0.25">
      <c r="A128" s="12" t="s">
        <v>191</v>
      </c>
      <c r="B128" s="12" t="s">
        <v>194</v>
      </c>
      <c r="C128" s="12">
        <v>16</v>
      </c>
      <c r="E128" s="17" t="str">
        <f t="shared" si="6"/>
        <v>Fill4</v>
      </c>
      <c r="F128" s="17" t="str">
        <f t="shared" si="7"/>
        <v>1.7MG</v>
      </c>
      <c r="G128" s="17" t="str">
        <f t="shared" si="8"/>
        <v>Fill5</v>
      </c>
      <c r="H128" s="17" t="str">
        <f t="shared" si="9"/>
        <v>NoFill</v>
      </c>
      <c r="I128" s="17">
        <f t="shared" si="10"/>
        <v>16</v>
      </c>
      <c r="J128" s="18">
        <f t="shared" si="11"/>
        <v>1.1878247958426132E-2</v>
      </c>
    </row>
    <row r="129" spans="1:10" x14ac:dyDescent="0.25">
      <c r="A129" s="12" t="s">
        <v>191</v>
      </c>
      <c r="B129" s="12" t="s">
        <v>195</v>
      </c>
      <c r="C129" s="12">
        <v>38</v>
      </c>
      <c r="E129" s="17" t="str">
        <f t="shared" si="6"/>
        <v>Fill4</v>
      </c>
      <c r="F129" s="17" t="str">
        <f t="shared" si="7"/>
        <v>1.7MG</v>
      </c>
      <c r="G129" s="17" t="str">
        <f t="shared" si="8"/>
        <v>Fill5</v>
      </c>
      <c r="H129" s="17" t="str">
        <f t="shared" si="9"/>
        <v>0.8MG</v>
      </c>
      <c r="I129" s="17">
        <f t="shared" si="10"/>
        <v>38</v>
      </c>
      <c r="J129" s="18">
        <f t="shared" si="11"/>
        <v>2.8210838901262063E-2</v>
      </c>
    </row>
    <row r="130" spans="1:10" x14ac:dyDescent="0.25">
      <c r="A130" s="12" t="s">
        <v>191</v>
      </c>
      <c r="B130" s="12" t="s">
        <v>196</v>
      </c>
      <c r="C130" s="12">
        <v>37</v>
      </c>
      <c r="E130" s="17" t="str">
        <f t="shared" si="6"/>
        <v>Fill4</v>
      </c>
      <c r="F130" s="17" t="str">
        <f t="shared" si="7"/>
        <v>1.7MG</v>
      </c>
      <c r="G130" s="17" t="str">
        <f t="shared" si="8"/>
        <v>Fill5</v>
      </c>
      <c r="H130" s="17" t="str">
        <f t="shared" si="9"/>
        <v>1.2MG</v>
      </c>
      <c r="I130" s="17">
        <f t="shared" si="10"/>
        <v>37</v>
      </c>
      <c r="J130" s="18">
        <f t="shared" si="11"/>
        <v>2.7468448403860431E-2</v>
      </c>
    </row>
    <row r="131" spans="1:10" x14ac:dyDescent="0.25">
      <c r="A131" s="12" t="s">
        <v>191</v>
      </c>
      <c r="B131" s="12" t="s">
        <v>197</v>
      </c>
      <c r="C131" s="12">
        <v>52</v>
      </c>
      <c r="E131" s="17" t="str">
        <f t="shared" ref="E131:E181" si="12">LEFT(A131,5)</f>
        <v>Fill4</v>
      </c>
      <c r="F131" s="17" t="str">
        <f t="shared" ref="F131:F181" si="13">MID(A131,FIND("_",A131)+1,LEN(A131)-FIND("_",A131))</f>
        <v>1.7MG</v>
      </c>
      <c r="G131" s="17" t="str">
        <f t="shared" ref="G131:G181" si="14">LEFT(B131,5)</f>
        <v>Fill5</v>
      </c>
      <c r="H131" s="17" t="str">
        <f t="shared" ref="H131:H181" si="15">MID(B131,FIND("_",B131)+1,LEN(B131)-FIND("_",B131))</f>
        <v>1.7MG</v>
      </c>
      <c r="I131" s="17">
        <f t="shared" ref="I131:I181" si="16">C131</f>
        <v>52</v>
      </c>
      <c r="J131" s="18">
        <f t="shared" ref="J131:J181" si="17">I131/SUMIF(E:E,E131,I:I)</f>
        <v>3.8604305864884926E-2</v>
      </c>
    </row>
    <row r="132" spans="1:10" x14ac:dyDescent="0.25">
      <c r="A132" s="12" t="s">
        <v>191</v>
      </c>
      <c r="B132" s="12" t="s">
        <v>198</v>
      </c>
      <c r="C132" s="12">
        <v>27</v>
      </c>
      <c r="E132" s="17" t="str">
        <f t="shared" si="12"/>
        <v>Fill4</v>
      </c>
      <c r="F132" s="17" t="str">
        <f t="shared" si="13"/>
        <v>1.7MG</v>
      </c>
      <c r="G132" s="17" t="str">
        <f t="shared" si="14"/>
        <v>Fill5</v>
      </c>
      <c r="H132" s="17" t="str">
        <f t="shared" si="15"/>
        <v>2.4MG</v>
      </c>
      <c r="I132" s="17">
        <f t="shared" si="16"/>
        <v>27</v>
      </c>
      <c r="J132" s="18">
        <f t="shared" si="17"/>
        <v>2.0044543429844099E-2</v>
      </c>
    </row>
    <row r="133" spans="1:10" x14ac:dyDescent="0.25">
      <c r="A133" s="12" t="s">
        <v>191</v>
      </c>
      <c r="B133" s="12" t="s">
        <v>199</v>
      </c>
      <c r="C133" s="12">
        <v>66</v>
      </c>
      <c r="E133" s="17" t="str">
        <f t="shared" si="12"/>
        <v>Fill4</v>
      </c>
      <c r="F133" s="17" t="str">
        <f t="shared" si="13"/>
        <v>1.7MG</v>
      </c>
      <c r="G133" s="17" t="str">
        <f t="shared" si="14"/>
        <v>Fill5</v>
      </c>
      <c r="H133" s="17" t="str">
        <f t="shared" si="15"/>
        <v>3.0MG</v>
      </c>
      <c r="I133" s="17">
        <f t="shared" si="16"/>
        <v>66</v>
      </c>
      <c r="J133" s="18">
        <f t="shared" si="17"/>
        <v>4.8997772828507792E-2</v>
      </c>
    </row>
    <row r="134" spans="1:10" x14ac:dyDescent="0.25">
      <c r="A134" s="12" t="s">
        <v>192</v>
      </c>
      <c r="B134" s="12" t="s">
        <v>194</v>
      </c>
      <c r="C134" s="12">
        <v>92</v>
      </c>
      <c r="E134" s="17" t="str">
        <f t="shared" si="12"/>
        <v>Fill4</v>
      </c>
      <c r="F134" s="17" t="str">
        <f t="shared" si="13"/>
        <v>2.4MG</v>
      </c>
      <c r="G134" s="17" t="str">
        <f t="shared" si="14"/>
        <v>Fill5</v>
      </c>
      <c r="H134" s="17" t="str">
        <f t="shared" si="15"/>
        <v>NoFill</v>
      </c>
      <c r="I134" s="17">
        <f t="shared" si="16"/>
        <v>92</v>
      </c>
      <c r="J134" s="18">
        <f t="shared" si="17"/>
        <v>6.8299925760950259E-2</v>
      </c>
    </row>
    <row r="135" spans="1:10" x14ac:dyDescent="0.25">
      <c r="A135" s="12" t="s">
        <v>192</v>
      </c>
      <c r="B135" s="12" t="s">
        <v>195</v>
      </c>
      <c r="C135" s="12">
        <v>41</v>
      </c>
      <c r="E135" s="17" t="str">
        <f t="shared" si="12"/>
        <v>Fill4</v>
      </c>
      <c r="F135" s="17" t="str">
        <f t="shared" si="13"/>
        <v>2.4MG</v>
      </c>
      <c r="G135" s="17" t="str">
        <f t="shared" si="14"/>
        <v>Fill5</v>
      </c>
      <c r="H135" s="17" t="str">
        <f t="shared" si="15"/>
        <v>0.8MG</v>
      </c>
      <c r="I135" s="17">
        <f t="shared" si="16"/>
        <v>41</v>
      </c>
      <c r="J135" s="18">
        <f t="shared" si="17"/>
        <v>3.0438010393466965E-2</v>
      </c>
    </row>
    <row r="136" spans="1:10" x14ac:dyDescent="0.25">
      <c r="A136" s="12" t="s">
        <v>192</v>
      </c>
      <c r="B136" s="12" t="s">
        <v>196</v>
      </c>
      <c r="C136" s="12">
        <v>48</v>
      </c>
      <c r="E136" s="17" t="str">
        <f t="shared" si="12"/>
        <v>Fill4</v>
      </c>
      <c r="F136" s="17" t="str">
        <f t="shared" si="13"/>
        <v>2.4MG</v>
      </c>
      <c r="G136" s="17" t="str">
        <f t="shared" si="14"/>
        <v>Fill5</v>
      </c>
      <c r="H136" s="17" t="str">
        <f t="shared" si="15"/>
        <v>1.2MG</v>
      </c>
      <c r="I136" s="17">
        <f t="shared" si="16"/>
        <v>48</v>
      </c>
      <c r="J136" s="18">
        <f t="shared" si="17"/>
        <v>3.5634743875278395E-2</v>
      </c>
    </row>
    <row r="137" spans="1:10" x14ac:dyDescent="0.25">
      <c r="A137" s="12" t="s">
        <v>192</v>
      </c>
      <c r="B137" s="12" t="s">
        <v>197</v>
      </c>
      <c r="C137" s="12">
        <v>90</v>
      </c>
      <c r="E137" s="17" t="str">
        <f t="shared" si="12"/>
        <v>Fill4</v>
      </c>
      <c r="F137" s="17" t="str">
        <f t="shared" si="13"/>
        <v>2.4MG</v>
      </c>
      <c r="G137" s="17" t="str">
        <f t="shared" si="14"/>
        <v>Fill5</v>
      </c>
      <c r="H137" s="17" t="str">
        <f t="shared" si="15"/>
        <v>1.7MG</v>
      </c>
      <c r="I137" s="17">
        <f t="shared" si="16"/>
        <v>90</v>
      </c>
      <c r="J137" s="18">
        <f t="shared" si="17"/>
        <v>6.6815144766147E-2</v>
      </c>
    </row>
    <row r="138" spans="1:10" x14ac:dyDescent="0.25">
      <c r="A138" s="12" t="s">
        <v>192</v>
      </c>
      <c r="B138" s="12" t="s">
        <v>198</v>
      </c>
      <c r="C138" s="12">
        <v>95</v>
      </c>
      <c r="E138" s="17" t="str">
        <f t="shared" si="12"/>
        <v>Fill4</v>
      </c>
      <c r="F138" s="17" t="str">
        <f t="shared" si="13"/>
        <v>2.4MG</v>
      </c>
      <c r="G138" s="17" t="str">
        <f t="shared" si="14"/>
        <v>Fill5</v>
      </c>
      <c r="H138" s="17" t="str">
        <f t="shared" si="15"/>
        <v>2.4MG</v>
      </c>
      <c r="I138" s="17">
        <f t="shared" si="16"/>
        <v>95</v>
      </c>
      <c r="J138" s="18">
        <f t="shared" si="17"/>
        <v>7.052709725315516E-2</v>
      </c>
    </row>
    <row r="139" spans="1:10" x14ac:dyDescent="0.25">
      <c r="A139" s="12" t="s">
        <v>192</v>
      </c>
      <c r="B139" s="12" t="s">
        <v>199</v>
      </c>
      <c r="C139" s="12">
        <v>39</v>
      </c>
      <c r="E139" s="17" t="str">
        <f t="shared" si="12"/>
        <v>Fill4</v>
      </c>
      <c r="F139" s="17" t="str">
        <f t="shared" si="13"/>
        <v>2.4MG</v>
      </c>
      <c r="G139" s="17" t="str">
        <f t="shared" si="14"/>
        <v>Fill5</v>
      </c>
      <c r="H139" s="17" t="str">
        <f t="shared" si="15"/>
        <v>3.0MG</v>
      </c>
      <c r="I139" s="17">
        <f t="shared" si="16"/>
        <v>39</v>
      </c>
      <c r="J139" s="18">
        <f t="shared" si="17"/>
        <v>2.8953229398663696E-2</v>
      </c>
    </row>
    <row r="140" spans="1:10" x14ac:dyDescent="0.25">
      <c r="A140" s="12" t="s">
        <v>193</v>
      </c>
      <c r="B140" s="12" t="s">
        <v>194</v>
      </c>
      <c r="C140" s="12">
        <v>69</v>
      </c>
      <c r="E140" s="17" t="str">
        <f t="shared" si="12"/>
        <v>Fill4</v>
      </c>
      <c r="F140" s="17" t="str">
        <f t="shared" si="13"/>
        <v>3.0MG</v>
      </c>
      <c r="G140" s="17" t="str">
        <f t="shared" si="14"/>
        <v>Fill5</v>
      </c>
      <c r="H140" s="17" t="str">
        <f t="shared" si="15"/>
        <v>NoFill</v>
      </c>
      <c r="I140" s="17">
        <f t="shared" si="16"/>
        <v>69</v>
      </c>
      <c r="J140" s="18">
        <f t="shared" si="17"/>
        <v>5.1224944320712694E-2</v>
      </c>
    </row>
    <row r="141" spans="1:10" x14ac:dyDescent="0.25">
      <c r="A141" s="12" t="s">
        <v>193</v>
      </c>
      <c r="B141" s="12" t="s">
        <v>195</v>
      </c>
      <c r="C141" s="12">
        <v>51</v>
      </c>
      <c r="E141" s="17" t="str">
        <f t="shared" si="12"/>
        <v>Fill4</v>
      </c>
      <c r="F141" s="17" t="str">
        <f t="shared" si="13"/>
        <v>3.0MG</v>
      </c>
      <c r="G141" s="17" t="str">
        <f t="shared" si="14"/>
        <v>Fill5</v>
      </c>
      <c r="H141" s="17" t="str">
        <f t="shared" si="15"/>
        <v>0.8MG</v>
      </c>
      <c r="I141" s="17">
        <f t="shared" si="16"/>
        <v>51</v>
      </c>
      <c r="J141" s="18">
        <f t="shared" si="17"/>
        <v>3.7861915367483297E-2</v>
      </c>
    </row>
    <row r="142" spans="1:10" x14ac:dyDescent="0.25">
      <c r="A142" s="12" t="s">
        <v>193</v>
      </c>
      <c r="B142" s="12" t="s">
        <v>196</v>
      </c>
      <c r="C142" s="12">
        <v>82</v>
      </c>
      <c r="E142" s="17" t="str">
        <f t="shared" si="12"/>
        <v>Fill4</v>
      </c>
      <c r="F142" s="17" t="str">
        <f t="shared" si="13"/>
        <v>3.0MG</v>
      </c>
      <c r="G142" s="17" t="str">
        <f t="shared" si="14"/>
        <v>Fill5</v>
      </c>
      <c r="H142" s="17" t="str">
        <f t="shared" si="15"/>
        <v>1.2MG</v>
      </c>
      <c r="I142" s="17">
        <f t="shared" si="16"/>
        <v>82</v>
      </c>
      <c r="J142" s="18">
        <f t="shared" si="17"/>
        <v>6.0876020786933931E-2</v>
      </c>
    </row>
    <row r="143" spans="1:10" x14ac:dyDescent="0.25">
      <c r="A143" s="12" t="s">
        <v>193</v>
      </c>
      <c r="B143" s="12" t="s">
        <v>197</v>
      </c>
      <c r="C143" s="12">
        <v>7</v>
      </c>
      <c r="E143" s="17" t="str">
        <f t="shared" si="12"/>
        <v>Fill4</v>
      </c>
      <c r="F143" s="17" t="str">
        <f t="shared" si="13"/>
        <v>3.0MG</v>
      </c>
      <c r="G143" s="17" t="str">
        <f t="shared" si="14"/>
        <v>Fill5</v>
      </c>
      <c r="H143" s="17" t="str">
        <f t="shared" si="15"/>
        <v>1.7MG</v>
      </c>
      <c r="I143" s="17">
        <f t="shared" si="16"/>
        <v>7</v>
      </c>
      <c r="J143" s="18">
        <f t="shared" si="17"/>
        <v>5.196733481811433E-3</v>
      </c>
    </row>
    <row r="144" spans="1:10" x14ac:dyDescent="0.25">
      <c r="A144" s="12" t="s">
        <v>193</v>
      </c>
      <c r="B144" s="12" t="s">
        <v>198</v>
      </c>
      <c r="C144" s="12">
        <v>5</v>
      </c>
      <c r="E144" s="17" t="str">
        <f t="shared" si="12"/>
        <v>Fill4</v>
      </c>
      <c r="F144" s="17" t="str">
        <f t="shared" si="13"/>
        <v>3.0MG</v>
      </c>
      <c r="G144" s="17" t="str">
        <f t="shared" si="14"/>
        <v>Fill5</v>
      </c>
      <c r="H144" s="17" t="str">
        <f t="shared" si="15"/>
        <v>2.4MG</v>
      </c>
      <c r="I144" s="17">
        <f t="shared" si="16"/>
        <v>5</v>
      </c>
      <c r="J144" s="18">
        <f t="shared" si="17"/>
        <v>3.7119524870081661E-3</v>
      </c>
    </row>
    <row r="145" spans="1:10" x14ac:dyDescent="0.25">
      <c r="A145" s="12" t="s">
        <v>193</v>
      </c>
      <c r="B145" s="12" t="s">
        <v>199</v>
      </c>
      <c r="C145" s="12">
        <v>9</v>
      </c>
      <c r="E145" s="17" t="str">
        <f t="shared" si="12"/>
        <v>Fill4</v>
      </c>
      <c r="F145" s="17" t="str">
        <f t="shared" si="13"/>
        <v>3.0MG</v>
      </c>
      <c r="G145" s="17" t="str">
        <f t="shared" si="14"/>
        <v>Fill5</v>
      </c>
      <c r="H145" s="17" t="str">
        <f t="shared" si="15"/>
        <v>3.0MG</v>
      </c>
      <c r="I145" s="17">
        <f t="shared" si="16"/>
        <v>9</v>
      </c>
      <c r="J145" s="18">
        <f t="shared" si="17"/>
        <v>6.6815144766146995E-3</v>
      </c>
    </row>
    <row r="146" spans="1:10" x14ac:dyDescent="0.25">
      <c r="A146" s="12" t="s">
        <v>194</v>
      </c>
      <c r="B146" s="12" t="s">
        <v>200</v>
      </c>
      <c r="C146" s="12">
        <v>1</v>
      </c>
      <c r="E146" s="17" t="str">
        <f t="shared" si="12"/>
        <v>Fill5</v>
      </c>
      <c r="F146" s="17" t="str">
        <f t="shared" si="13"/>
        <v>NoFill</v>
      </c>
      <c r="G146" s="17" t="str">
        <f t="shared" si="14"/>
        <v>Fill6</v>
      </c>
      <c r="H146" s="17" t="str">
        <f t="shared" si="15"/>
        <v>NoFill</v>
      </c>
      <c r="I146" s="17">
        <f t="shared" si="16"/>
        <v>1</v>
      </c>
      <c r="J146" s="18">
        <f t="shared" si="17"/>
        <v>6.5530799475753605E-4</v>
      </c>
    </row>
    <row r="147" spans="1:10" x14ac:dyDescent="0.25">
      <c r="A147" s="12" t="s">
        <v>194</v>
      </c>
      <c r="B147" s="12" t="s">
        <v>201</v>
      </c>
      <c r="C147" s="12">
        <v>1</v>
      </c>
      <c r="E147" s="17" t="str">
        <f t="shared" si="12"/>
        <v>Fill5</v>
      </c>
      <c r="F147" s="17" t="str">
        <f t="shared" si="13"/>
        <v>NoFill</v>
      </c>
      <c r="G147" s="17" t="str">
        <f t="shared" si="14"/>
        <v>Fill6</v>
      </c>
      <c r="H147" s="17" t="str">
        <f t="shared" si="15"/>
        <v>0.8MG</v>
      </c>
      <c r="I147" s="17">
        <f t="shared" si="16"/>
        <v>1</v>
      </c>
      <c r="J147" s="18">
        <f t="shared" si="17"/>
        <v>6.5530799475753605E-4</v>
      </c>
    </row>
    <row r="148" spans="1:10" x14ac:dyDescent="0.25">
      <c r="A148" s="12" t="s">
        <v>194</v>
      </c>
      <c r="B148" s="12" t="s">
        <v>202</v>
      </c>
      <c r="C148" s="12">
        <v>1</v>
      </c>
      <c r="E148" s="17" t="str">
        <f t="shared" si="12"/>
        <v>Fill5</v>
      </c>
      <c r="F148" s="17" t="str">
        <f t="shared" si="13"/>
        <v>NoFill</v>
      </c>
      <c r="G148" s="17" t="str">
        <f t="shared" si="14"/>
        <v>Fill6</v>
      </c>
      <c r="H148" s="17" t="str">
        <f t="shared" si="15"/>
        <v>1.2MG</v>
      </c>
      <c r="I148" s="17">
        <f t="shared" si="16"/>
        <v>1</v>
      </c>
      <c r="J148" s="18">
        <f t="shared" si="17"/>
        <v>6.5530799475753605E-4</v>
      </c>
    </row>
    <row r="149" spans="1:10" x14ac:dyDescent="0.25">
      <c r="A149" s="12" t="s">
        <v>194</v>
      </c>
      <c r="B149" s="12" t="s">
        <v>203</v>
      </c>
      <c r="C149" s="12">
        <v>1</v>
      </c>
      <c r="E149" s="17" t="str">
        <f t="shared" si="12"/>
        <v>Fill5</v>
      </c>
      <c r="F149" s="17" t="str">
        <f t="shared" si="13"/>
        <v>NoFill</v>
      </c>
      <c r="G149" s="17" t="str">
        <f t="shared" si="14"/>
        <v>Fill6</v>
      </c>
      <c r="H149" s="17" t="str">
        <f t="shared" si="15"/>
        <v>1.7MG</v>
      </c>
      <c r="I149" s="17">
        <f t="shared" si="16"/>
        <v>1</v>
      </c>
      <c r="J149" s="18">
        <f t="shared" si="17"/>
        <v>6.5530799475753605E-4</v>
      </c>
    </row>
    <row r="150" spans="1:10" x14ac:dyDescent="0.25">
      <c r="A150" s="12" t="s">
        <v>194</v>
      </c>
      <c r="B150" s="12" t="s">
        <v>204</v>
      </c>
      <c r="C150" s="12">
        <v>1</v>
      </c>
      <c r="E150" s="17" t="str">
        <f t="shared" si="12"/>
        <v>Fill5</v>
      </c>
      <c r="F150" s="17" t="str">
        <f t="shared" si="13"/>
        <v>NoFill</v>
      </c>
      <c r="G150" s="17" t="str">
        <f t="shared" si="14"/>
        <v>Fill6</v>
      </c>
      <c r="H150" s="17" t="str">
        <f t="shared" si="15"/>
        <v>2.4MG</v>
      </c>
      <c r="I150" s="17">
        <f t="shared" si="16"/>
        <v>1</v>
      </c>
      <c r="J150" s="18">
        <f t="shared" si="17"/>
        <v>6.5530799475753605E-4</v>
      </c>
    </row>
    <row r="151" spans="1:10" x14ac:dyDescent="0.25">
      <c r="A151" s="12" t="s">
        <v>194</v>
      </c>
      <c r="B151" s="12" t="s">
        <v>205</v>
      </c>
      <c r="C151" s="12">
        <v>1</v>
      </c>
      <c r="E151" s="17" t="str">
        <f t="shared" si="12"/>
        <v>Fill5</v>
      </c>
      <c r="F151" s="17" t="str">
        <f t="shared" si="13"/>
        <v>NoFill</v>
      </c>
      <c r="G151" s="17" t="str">
        <f t="shared" si="14"/>
        <v>Fill6</v>
      </c>
      <c r="H151" s="17" t="str">
        <f t="shared" si="15"/>
        <v>3.0MG</v>
      </c>
      <c r="I151" s="17">
        <f t="shared" si="16"/>
        <v>1</v>
      </c>
      <c r="J151" s="18">
        <f t="shared" si="17"/>
        <v>6.5530799475753605E-4</v>
      </c>
    </row>
    <row r="152" spans="1:10" x14ac:dyDescent="0.25">
      <c r="A152" s="12" t="s">
        <v>195</v>
      </c>
      <c r="B152" s="12" t="s">
        <v>200</v>
      </c>
      <c r="C152" s="12">
        <v>94</v>
      </c>
      <c r="E152" s="17" t="str">
        <f t="shared" si="12"/>
        <v>Fill5</v>
      </c>
      <c r="F152" s="17" t="str">
        <f t="shared" si="13"/>
        <v>0.8MG</v>
      </c>
      <c r="G152" s="17" t="str">
        <f t="shared" si="14"/>
        <v>Fill6</v>
      </c>
      <c r="H152" s="17" t="str">
        <f t="shared" si="15"/>
        <v>NoFill</v>
      </c>
      <c r="I152" s="17">
        <f t="shared" si="16"/>
        <v>94</v>
      </c>
      <c r="J152" s="18">
        <f t="shared" si="17"/>
        <v>6.1598951507208385E-2</v>
      </c>
    </row>
    <row r="153" spans="1:10" x14ac:dyDescent="0.25">
      <c r="A153" s="12" t="s">
        <v>195</v>
      </c>
      <c r="B153" s="12" t="s">
        <v>201</v>
      </c>
      <c r="C153" s="12">
        <v>46</v>
      </c>
      <c r="E153" s="17" t="str">
        <f t="shared" si="12"/>
        <v>Fill5</v>
      </c>
      <c r="F153" s="17" t="str">
        <f t="shared" si="13"/>
        <v>0.8MG</v>
      </c>
      <c r="G153" s="17" t="str">
        <f t="shared" si="14"/>
        <v>Fill6</v>
      </c>
      <c r="H153" s="17" t="str">
        <f t="shared" si="15"/>
        <v>0.8MG</v>
      </c>
      <c r="I153" s="17">
        <f t="shared" si="16"/>
        <v>46</v>
      </c>
      <c r="J153" s="18">
        <f t="shared" si="17"/>
        <v>3.0144167758846659E-2</v>
      </c>
    </row>
    <row r="154" spans="1:10" x14ac:dyDescent="0.25">
      <c r="A154" s="12" t="s">
        <v>195</v>
      </c>
      <c r="B154" s="12" t="s">
        <v>202</v>
      </c>
      <c r="C154" s="12">
        <v>81</v>
      </c>
      <c r="E154" s="17" t="str">
        <f t="shared" si="12"/>
        <v>Fill5</v>
      </c>
      <c r="F154" s="17" t="str">
        <f t="shared" si="13"/>
        <v>0.8MG</v>
      </c>
      <c r="G154" s="17" t="str">
        <f t="shared" si="14"/>
        <v>Fill6</v>
      </c>
      <c r="H154" s="17" t="str">
        <f t="shared" si="15"/>
        <v>1.2MG</v>
      </c>
      <c r="I154" s="17">
        <f t="shared" si="16"/>
        <v>81</v>
      </c>
      <c r="J154" s="18">
        <f t="shared" si="17"/>
        <v>5.3079947575360421E-2</v>
      </c>
    </row>
    <row r="155" spans="1:10" x14ac:dyDescent="0.25">
      <c r="A155" s="12" t="s">
        <v>195</v>
      </c>
      <c r="B155" s="12" t="s">
        <v>203</v>
      </c>
      <c r="C155" s="12">
        <v>55</v>
      </c>
      <c r="E155" s="17" t="str">
        <f t="shared" si="12"/>
        <v>Fill5</v>
      </c>
      <c r="F155" s="17" t="str">
        <f t="shared" si="13"/>
        <v>0.8MG</v>
      </c>
      <c r="G155" s="17" t="str">
        <f t="shared" si="14"/>
        <v>Fill6</v>
      </c>
      <c r="H155" s="17" t="str">
        <f t="shared" si="15"/>
        <v>1.7MG</v>
      </c>
      <c r="I155" s="17">
        <f t="shared" si="16"/>
        <v>55</v>
      </c>
      <c r="J155" s="18">
        <f t="shared" si="17"/>
        <v>3.6041939711664479E-2</v>
      </c>
    </row>
    <row r="156" spans="1:10" x14ac:dyDescent="0.25">
      <c r="A156" s="12" t="s">
        <v>195</v>
      </c>
      <c r="B156" s="12" t="s">
        <v>204</v>
      </c>
      <c r="C156" s="12">
        <v>67</v>
      </c>
      <c r="E156" s="17" t="str">
        <f t="shared" si="12"/>
        <v>Fill5</v>
      </c>
      <c r="F156" s="17" t="str">
        <f t="shared" si="13"/>
        <v>0.8MG</v>
      </c>
      <c r="G156" s="17" t="str">
        <f t="shared" si="14"/>
        <v>Fill6</v>
      </c>
      <c r="H156" s="17" t="str">
        <f t="shared" si="15"/>
        <v>2.4MG</v>
      </c>
      <c r="I156" s="17">
        <f t="shared" si="16"/>
        <v>67</v>
      </c>
      <c r="J156" s="18">
        <f t="shared" si="17"/>
        <v>4.3905635648754916E-2</v>
      </c>
    </row>
    <row r="157" spans="1:10" x14ac:dyDescent="0.25">
      <c r="A157" s="12" t="s">
        <v>195</v>
      </c>
      <c r="B157" s="12" t="s">
        <v>205</v>
      </c>
      <c r="C157" s="12">
        <v>56</v>
      </c>
      <c r="E157" s="17" t="str">
        <f t="shared" si="12"/>
        <v>Fill5</v>
      </c>
      <c r="F157" s="17" t="str">
        <f t="shared" si="13"/>
        <v>0.8MG</v>
      </c>
      <c r="G157" s="17" t="str">
        <f t="shared" si="14"/>
        <v>Fill6</v>
      </c>
      <c r="H157" s="17" t="str">
        <f t="shared" si="15"/>
        <v>3.0MG</v>
      </c>
      <c r="I157" s="17">
        <f t="shared" si="16"/>
        <v>56</v>
      </c>
      <c r="J157" s="18">
        <f t="shared" si="17"/>
        <v>3.669724770642202E-2</v>
      </c>
    </row>
    <row r="158" spans="1:10" x14ac:dyDescent="0.25">
      <c r="A158" s="12" t="s">
        <v>196</v>
      </c>
      <c r="B158" s="12" t="s">
        <v>200</v>
      </c>
      <c r="C158" s="12">
        <v>8</v>
      </c>
      <c r="E158" s="17" t="str">
        <f t="shared" si="12"/>
        <v>Fill5</v>
      </c>
      <c r="F158" s="17" t="str">
        <f t="shared" si="13"/>
        <v>1.2MG</v>
      </c>
      <c r="G158" s="17" t="str">
        <f t="shared" si="14"/>
        <v>Fill6</v>
      </c>
      <c r="H158" s="17" t="str">
        <f t="shared" si="15"/>
        <v>NoFill</v>
      </c>
      <c r="I158" s="17">
        <f t="shared" si="16"/>
        <v>8</v>
      </c>
      <c r="J158" s="18">
        <f t="shared" si="17"/>
        <v>5.2424639580602884E-3</v>
      </c>
    </row>
    <row r="159" spans="1:10" x14ac:dyDescent="0.25">
      <c r="A159" s="12" t="s">
        <v>196</v>
      </c>
      <c r="B159" s="12" t="s">
        <v>201</v>
      </c>
      <c r="C159" s="12">
        <v>98</v>
      </c>
      <c r="E159" s="17" t="str">
        <f t="shared" si="12"/>
        <v>Fill5</v>
      </c>
      <c r="F159" s="17" t="str">
        <f t="shared" si="13"/>
        <v>1.2MG</v>
      </c>
      <c r="G159" s="17" t="str">
        <f t="shared" si="14"/>
        <v>Fill6</v>
      </c>
      <c r="H159" s="17" t="str">
        <f t="shared" si="15"/>
        <v>0.8MG</v>
      </c>
      <c r="I159" s="17">
        <f t="shared" si="16"/>
        <v>98</v>
      </c>
      <c r="J159" s="18">
        <f t="shared" si="17"/>
        <v>6.4220183486238536E-2</v>
      </c>
    </row>
    <row r="160" spans="1:10" x14ac:dyDescent="0.25">
      <c r="A160" s="12" t="s">
        <v>196</v>
      </c>
      <c r="B160" s="12" t="s">
        <v>202</v>
      </c>
      <c r="C160" s="12">
        <v>27</v>
      </c>
      <c r="E160" s="17" t="str">
        <f t="shared" si="12"/>
        <v>Fill5</v>
      </c>
      <c r="F160" s="17" t="str">
        <f t="shared" si="13"/>
        <v>1.2MG</v>
      </c>
      <c r="G160" s="17" t="str">
        <f t="shared" si="14"/>
        <v>Fill6</v>
      </c>
      <c r="H160" s="17" t="str">
        <f t="shared" si="15"/>
        <v>1.2MG</v>
      </c>
      <c r="I160" s="17">
        <f t="shared" si="16"/>
        <v>27</v>
      </c>
      <c r="J160" s="18">
        <f t="shared" si="17"/>
        <v>1.7693315858453473E-2</v>
      </c>
    </row>
    <row r="161" spans="1:10" x14ac:dyDescent="0.25">
      <c r="A161" s="12" t="s">
        <v>196</v>
      </c>
      <c r="B161" s="12" t="s">
        <v>203</v>
      </c>
      <c r="C161" s="12">
        <v>19</v>
      </c>
      <c r="E161" s="17" t="str">
        <f t="shared" si="12"/>
        <v>Fill5</v>
      </c>
      <c r="F161" s="17" t="str">
        <f t="shared" si="13"/>
        <v>1.2MG</v>
      </c>
      <c r="G161" s="17" t="str">
        <f t="shared" si="14"/>
        <v>Fill6</v>
      </c>
      <c r="H161" s="17" t="str">
        <f t="shared" si="15"/>
        <v>1.7MG</v>
      </c>
      <c r="I161" s="17">
        <f t="shared" si="16"/>
        <v>19</v>
      </c>
      <c r="J161" s="18">
        <f t="shared" si="17"/>
        <v>1.2450851900393184E-2</v>
      </c>
    </row>
    <row r="162" spans="1:10" x14ac:dyDescent="0.25">
      <c r="A162" s="12" t="s">
        <v>196</v>
      </c>
      <c r="B162" s="12" t="s">
        <v>204</v>
      </c>
      <c r="C162" s="12">
        <v>47</v>
      </c>
      <c r="E162" s="17" t="str">
        <f t="shared" si="12"/>
        <v>Fill5</v>
      </c>
      <c r="F162" s="17" t="str">
        <f t="shared" si="13"/>
        <v>1.2MG</v>
      </c>
      <c r="G162" s="17" t="str">
        <f t="shared" si="14"/>
        <v>Fill6</v>
      </c>
      <c r="H162" s="17" t="str">
        <f t="shared" si="15"/>
        <v>2.4MG</v>
      </c>
      <c r="I162" s="17">
        <f t="shared" si="16"/>
        <v>47</v>
      </c>
      <c r="J162" s="18">
        <f t="shared" si="17"/>
        <v>3.0799475753604193E-2</v>
      </c>
    </row>
    <row r="163" spans="1:10" x14ac:dyDescent="0.25">
      <c r="A163" s="12" t="s">
        <v>196</v>
      </c>
      <c r="B163" s="12" t="s">
        <v>205</v>
      </c>
      <c r="C163" s="12">
        <v>33</v>
      </c>
      <c r="E163" s="17" t="str">
        <f t="shared" si="12"/>
        <v>Fill5</v>
      </c>
      <c r="F163" s="17" t="str">
        <f t="shared" si="13"/>
        <v>1.2MG</v>
      </c>
      <c r="G163" s="17" t="str">
        <f t="shared" si="14"/>
        <v>Fill6</v>
      </c>
      <c r="H163" s="17" t="str">
        <f t="shared" si="15"/>
        <v>3.0MG</v>
      </c>
      <c r="I163" s="17">
        <f t="shared" si="16"/>
        <v>33</v>
      </c>
      <c r="J163" s="18">
        <f t="shared" si="17"/>
        <v>2.1625163826998691E-2</v>
      </c>
    </row>
    <row r="164" spans="1:10" x14ac:dyDescent="0.25">
      <c r="A164" s="12" t="s">
        <v>197</v>
      </c>
      <c r="B164" s="12" t="s">
        <v>200</v>
      </c>
      <c r="C164" s="12">
        <v>40</v>
      </c>
      <c r="E164" s="17" t="str">
        <f t="shared" si="12"/>
        <v>Fill5</v>
      </c>
      <c r="F164" s="17" t="str">
        <f t="shared" si="13"/>
        <v>1.7MG</v>
      </c>
      <c r="G164" s="17" t="str">
        <f t="shared" si="14"/>
        <v>Fill6</v>
      </c>
      <c r="H164" s="17" t="str">
        <f t="shared" si="15"/>
        <v>NoFill</v>
      </c>
      <c r="I164" s="17">
        <f t="shared" si="16"/>
        <v>40</v>
      </c>
      <c r="J164" s="18">
        <f t="shared" si="17"/>
        <v>2.621231979030144E-2</v>
      </c>
    </row>
    <row r="165" spans="1:10" x14ac:dyDescent="0.25">
      <c r="A165" s="12" t="s">
        <v>197</v>
      </c>
      <c r="B165" s="12" t="s">
        <v>201</v>
      </c>
      <c r="C165" s="12">
        <v>17</v>
      </c>
      <c r="E165" s="17" t="str">
        <f t="shared" si="12"/>
        <v>Fill5</v>
      </c>
      <c r="F165" s="17" t="str">
        <f t="shared" si="13"/>
        <v>1.7MG</v>
      </c>
      <c r="G165" s="17" t="str">
        <f t="shared" si="14"/>
        <v>Fill6</v>
      </c>
      <c r="H165" s="17" t="str">
        <f t="shared" si="15"/>
        <v>0.8MG</v>
      </c>
      <c r="I165" s="17">
        <f t="shared" si="16"/>
        <v>17</v>
      </c>
      <c r="J165" s="18">
        <f t="shared" si="17"/>
        <v>1.1140235910878113E-2</v>
      </c>
    </row>
    <row r="166" spans="1:10" x14ac:dyDescent="0.25">
      <c r="A166" s="12" t="s">
        <v>197</v>
      </c>
      <c r="B166" s="12" t="s">
        <v>202</v>
      </c>
      <c r="C166" s="12">
        <v>36</v>
      </c>
      <c r="E166" s="17" t="str">
        <f t="shared" si="12"/>
        <v>Fill5</v>
      </c>
      <c r="F166" s="17" t="str">
        <f t="shared" si="13"/>
        <v>1.7MG</v>
      </c>
      <c r="G166" s="17" t="str">
        <f t="shared" si="14"/>
        <v>Fill6</v>
      </c>
      <c r="H166" s="17" t="str">
        <f t="shared" si="15"/>
        <v>1.2MG</v>
      </c>
      <c r="I166" s="17">
        <f t="shared" si="16"/>
        <v>36</v>
      </c>
      <c r="J166" s="18">
        <f t="shared" si="17"/>
        <v>2.3591087811271297E-2</v>
      </c>
    </row>
    <row r="167" spans="1:10" x14ac:dyDescent="0.25">
      <c r="A167" s="12" t="s">
        <v>197</v>
      </c>
      <c r="B167" s="12" t="s">
        <v>203</v>
      </c>
      <c r="C167" s="12">
        <v>75</v>
      </c>
      <c r="E167" s="17" t="str">
        <f t="shared" si="12"/>
        <v>Fill5</v>
      </c>
      <c r="F167" s="17" t="str">
        <f t="shared" si="13"/>
        <v>1.7MG</v>
      </c>
      <c r="G167" s="17" t="str">
        <f t="shared" si="14"/>
        <v>Fill6</v>
      </c>
      <c r="H167" s="17" t="str">
        <f t="shared" si="15"/>
        <v>1.7MG</v>
      </c>
      <c r="I167" s="17">
        <f t="shared" si="16"/>
        <v>75</v>
      </c>
      <c r="J167" s="18">
        <f t="shared" si="17"/>
        <v>4.9148099606815203E-2</v>
      </c>
    </row>
    <row r="168" spans="1:10" x14ac:dyDescent="0.25">
      <c r="A168" s="12" t="s">
        <v>197</v>
      </c>
      <c r="B168" s="12" t="s">
        <v>204</v>
      </c>
      <c r="C168" s="12">
        <v>63</v>
      </c>
      <c r="E168" s="17" t="str">
        <f t="shared" si="12"/>
        <v>Fill5</v>
      </c>
      <c r="F168" s="17" t="str">
        <f t="shared" si="13"/>
        <v>1.7MG</v>
      </c>
      <c r="G168" s="17" t="str">
        <f t="shared" si="14"/>
        <v>Fill6</v>
      </c>
      <c r="H168" s="17" t="str">
        <f t="shared" si="15"/>
        <v>2.4MG</v>
      </c>
      <c r="I168" s="17">
        <f t="shared" si="16"/>
        <v>63</v>
      </c>
      <c r="J168" s="18">
        <f t="shared" si="17"/>
        <v>4.1284403669724773E-2</v>
      </c>
    </row>
    <row r="169" spans="1:10" x14ac:dyDescent="0.25">
      <c r="A169" s="12" t="s">
        <v>197</v>
      </c>
      <c r="B169" s="12" t="s">
        <v>205</v>
      </c>
      <c r="C169" s="12">
        <v>90</v>
      </c>
      <c r="E169" s="17" t="str">
        <f t="shared" si="12"/>
        <v>Fill5</v>
      </c>
      <c r="F169" s="17" t="str">
        <f t="shared" si="13"/>
        <v>1.7MG</v>
      </c>
      <c r="G169" s="17" t="str">
        <f t="shared" si="14"/>
        <v>Fill6</v>
      </c>
      <c r="H169" s="17" t="str">
        <f t="shared" si="15"/>
        <v>3.0MG</v>
      </c>
      <c r="I169" s="17">
        <f t="shared" si="16"/>
        <v>90</v>
      </c>
      <c r="J169" s="18">
        <f t="shared" si="17"/>
        <v>5.8977719528178242E-2</v>
      </c>
    </row>
    <row r="170" spans="1:10" x14ac:dyDescent="0.25">
      <c r="A170" s="12" t="s">
        <v>198</v>
      </c>
      <c r="B170" s="12" t="s">
        <v>200</v>
      </c>
      <c r="C170" s="12">
        <v>32</v>
      </c>
      <c r="E170" s="17" t="str">
        <f t="shared" si="12"/>
        <v>Fill5</v>
      </c>
      <c r="F170" s="17" t="str">
        <f t="shared" si="13"/>
        <v>2.4MG</v>
      </c>
      <c r="G170" s="17" t="str">
        <f t="shared" si="14"/>
        <v>Fill6</v>
      </c>
      <c r="H170" s="17" t="str">
        <f t="shared" si="15"/>
        <v>NoFill</v>
      </c>
      <c r="I170" s="17">
        <f t="shared" si="16"/>
        <v>32</v>
      </c>
      <c r="J170" s="18">
        <f t="shared" si="17"/>
        <v>2.0969855832241154E-2</v>
      </c>
    </row>
    <row r="171" spans="1:10" x14ac:dyDescent="0.25">
      <c r="A171" s="12" t="s">
        <v>198</v>
      </c>
      <c r="B171" s="12" t="s">
        <v>201</v>
      </c>
      <c r="C171" s="12">
        <v>70</v>
      </c>
      <c r="E171" s="17" t="str">
        <f t="shared" si="12"/>
        <v>Fill5</v>
      </c>
      <c r="F171" s="17" t="str">
        <f t="shared" si="13"/>
        <v>2.4MG</v>
      </c>
      <c r="G171" s="17" t="str">
        <f t="shared" si="14"/>
        <v>Fill6</v>
      </c>
      <c r="H171" s="17" t="str">
        <f t="shared" si="15"/>
        <v>0.8MG</v>
      </c>
      <c r="I171" s="17">
        <f t="shared" si="16"/>
        <v>70</v>
      </c>
      <c r="J171" s="18">
        <f t="shared" si="17"/>
        <v>4.5871559633027525E-2</v>
      </c>
    </row>
    <row r="172" spans="1:10" x14ac:dyDescent="0.25">
      <c r="A172" s="12" t="s">
        <v>198</v>
      </c>
      <c r="B172" s="12" t="s">
        <v>202</v>
      </c>
      <c r="C172" s="12">
        <v>46</v>
      </c>
      <c r="E172" s="17" t="str">
        <f t="shared" si="12"/>
        <v>Fill5</v>
      </c>
      <c r="F172" s="17" t="str">
        <f t="shared" si="13"/>
        <v>2.4MG</v>
      </c>
      <c r="G172" s="17" t="str">
        <f t="shared" si="14"/>
        <v>Fill6</v>
      </c>
      <c r="H172" s="17" t="str">
        <f t="shared" si="15"/>
        <v>1.2MG</v>
      </c>
      <c r="I172" s="17">
        <f t="shared" si="16"/>
        <v>46</v>
      </c>
      <c r="J172" s="18">
        <f t="shared" si="17"/>
        <v>3.0144167758846659E-2</v>
      </c>
    </row>
    <row r="173" spans="1:10" x14ac:dyDescent="0.25">
      <c r="A173" s="12" t="s">
        <v>198</v>
      </c>
      <c r="B173" s="12" t="s">
        <v>203</v>
      </c>
      <c r="C173" s="12">
        <v>49</v>
      </c>
      <c r="E173" s="17" t="str">
        <f t="shared" si="12"/>
        <v>Fill5</v>
      </c>
      <c r="F173" s="17" t="str">
        <f t="shared" si="13"/>
        <v>2.4MG</v>
      </c>
      <c r="G173" s="17" t="str">
        <f t="shared" si="14"/>
        <v>Fill6</v>
      </c>
      <c r="H173" s="17" t="str">
        <f t="shared" si="15"/>
        <v>1.7MG</v>
      </c>
      <c r="I173" s="17">
        <f t="shared" si="16"/>
        <v>49</v>
      </c>
      <c r="J173" s="18">
        <f t="shared" si="17"/>
        <v>3.2110091743119268E-2</v>
      </c>
    </row>
    <row r="174" spans="1:10" x14ac:dyDescent="0.25">
      <c r="A174" s="12" t="s">
        <v>198</v>
      </c>
      <c r="B174" s="12" t="s">
        <v>204</v>
      </c>
      <c r="C174" s="12">
        <v>66</v>
      </c>
      <c r="E174" s="17" t="str">
        <f t="shared" si="12"/>
        <v>Fill5</v>
      </c>
      <c r="F174" s="17" t="str">
        <f t="shared" si="13"/>
        <v>2.4MG</v>
      </c>
      <c r="G174" s="17" t="str">
        <f t="shared" si="14"/>
        <v>Fill6</v>
      </c>
      <c r="H174" s="17" t="str">
        <f t="shared" si="15"/>
        <v>2.4MG</v>
      </c>
      <c r="I174" s="17">
        <f t="shared" si="16"/>
        <v>66</v>
      </c>
      <c r="J174" s="18">
        <f t="shared" si="17"/>
        <v>4.3250327653997382E-2</v>
      </c>
    </row>
    <row r="175" spans="1:10" x14ac:dyDescent="0.25">
      <c r="A175" s="12" t="s">
        <v>198</v>
      </c>
      <c r="B175" s="12" t="s">
        <v>205</v>
      </c>
      <c r="C175" s="12">
        <v>61</v>
      </c>
      <c r="E175" s="17" t="str">
        <f t="shared" si="12"/>
        <v>Fill5</v>
      </c>
      <c r="F175" s="17" t="str">
        <f t="shared" si="13"/>
        <v>2.4MG</v>
      </c>
      <c r="G175" s="17" t="str">
        <f t="shared" si="14"/>
        <v>Fill6</v>
      </c>
      <c r="H175" s="17" t="str">
        <f t="shared" si="15"/>
        <v>3.0MG</v>
      </c>
      <c r="I175" s="17">
        <f t="shared" si="16"/>
        <v>61</v>
      </c>
      <c r="J175" s="18">
        <f t="shared" si="17"/>
        <v>3.9973787680209698E-2</v>
      </c>
    </row>
    <row r="176" spans="1:10" x14ac:dyDescent="0.25">
      <c r="A176" s="12" t="s">
        <v>199</v>
      </c>
      <c r="B176" s="12" t="s">
        <v>200</v>
      </c>
      <c r="C176" s="12">
        <v>10</v>
      </c>
      <c r="E176" s="17" t="str">
        <f t="shared" si="12"/>
        <v>Fill5</v>
      </c>
      <c r="F176" s="17" t="str">
        <f t="shared" si="13"/>
        <v>3.0MG</v>
      </c>
      <c r="G176" s="17" t="str">
        <f t="shared" si="14"/>
        <v>Fill6</v>
      </c>
      <c r="H176" s="17" t="str">
        <f t="shared" si="15"/>
        <v>NoFill</v>
      </c>
      <c r="I176" s="17">
        <f t="shared" si="16"/>
        <v>10</v>
      </c>
      <c r="J176" s="18">
        <f t="shared" si="17"/>
        <v>6.55307994757536E-3</v>
      </c>
    </row>
    <row r="177" spans="1:10" x14ac:dyDescent="0.25">
      <c r="A177" s="12" t="s">
        <v>199</v>
      </c>
      <c r="B177" s="12" t="s">
        <v>201</v>
      </c>
      <c r="C177" s="12">
        <v>32</v>
      </c>
      <c r="E177" s="17" t="str">
        <f t="shared" si="12"/>
        <v>Fill5</v>
      </c>
      <c r="F177" s="17" t="str">
        <f t="shared" si="13"/>
        <v>3.0MG</v>
      </c>
      <c r="G177" s="17" t="str">
        <f t="shared" si="14"/>
        <v>Fill6</v>
      </c>
      <c r="H177" s="17" t="str">
        <f t="shared" si="15"/>
        <v>0.8MG</v>
      </c>
      <c r="I177" s="17">
        <f t="shared" si="16"/>
        <v>32</v>
      </c>
      <c r="J177" s="18">
        <f t="shared" si="17"/>
        <v>2.0969855832241154E-2</v>
      </c>
    </row>
    <row r="178" spans="1:10" x14ac:dyDescent="0.25">
      <c r="A178" s="12" t="s">
        <v>199</v>
      </c>
      <c r="B178" s="12" t="s">
        <v>202</v>
      </c>
      <c r="C178" s="12">
        <v>32</v>
      </c>
      <c r="E178" s="17" t="str">
        <f t="shared" si="12"/>
        <v>Fill5</v>
      </c>
      <c r="F178" s="17" t="str">
        <f t="shared" si="13"/>
        <v>3.0MG</v>
      </c>
      <c r="G178" s="17" t="str">
        <f t="shared" si="14"/>
        <v>Fill6</v>
      </c>
      <c r="H178" s="17" t="str">
        <f t="shared" si="15"/>
        <v>1.2MG</v>
      </c>
      <c r="I178" s="17">
        <f t="shared" si="16"/>
        <v>32</v>
      </c>
      <c r="J178" s="18">
        <f t="shared" si="17"/>
        <v>2.0969855832241154E-2</v>
      </c>
    </row>
    <row r="179" spans="1:10" x14ac:dyDescent="0.25">
      <c r="A179" s="12" t="s">
        <v>199</v>
      </c>
      <c r="B179" s="12" t="s">
        <v>203</v>
      </c>
      <c r="C179" s="12">
        <v>48</v>
      </c>
      <c r="E179" s="17" t="str">
        <f t="shared" si="12"/>
        <v>Fill5</v>
      </c>
      <c r="F179" s="17" t="str">
        <f t="shared" si="13"/>
        <v>3.0MG</v>
      </c>
      <c r="G179" s="17" t="str">
        <f t="shared" si="14"/>
        <v>Fill6</v>
      </c>
      <c r="H179" s="17" t="str">
        <f t="shared" si="15"/>
        <v>1.7MG</v>
      </c>
      <c r="I179" s="17">
        <f t="shared" si="16"/>
        <v>48</v>
      </c>
      <c r="J179" s="18">
        <f t="shared" si="17"/>
        <v>3.1454783748361727E-2</v>
      </c>
    </row>
    <row r="180" spans="1:10" x14ac:dyDescent="0.25">
      <c r="A180" s="12" t="s">
        <v>199</v>
      </c>
      <c r="B180" s="12" t="s">
        <v>204</v>
      </c>
      <c r="C180" s="12">
        <v>88</v>
      </c>
      <c r="E180" s="17" t="str">
        <f t="shared" si="12"/>
        <v>Fill5</v>
      </c>
      <c r="F180" s="17" t="str">
        <f t="shared" si="13"/>
        <v>3.0MG</v>
      </c>
      <c r="G180" s="17" t="str">
        <f t="shared" si="14"/>
        <v>Fill6</v>
      </c>
      <c r="H180" s="17" t="str">
        <f t="shared" si="15"/>
        <v>2.4MG</v>
      </c>
      <c r="I180" s="17">
        <f t="shared" si="16"/>
        <v>88</v>
      </c>
      <c r="J180" s="18">
        <f t="shared" si="17"/>
        <v>5.7667103538663174E-2</v>
      </c>
    </row>
    <row r="181" spans="1:10" x14ac:dyDescent="0.25">
      <c r="A181" s="12" t="s">
        <v>199</v>
      </c>
      <c r="B181" s="12" t="s">
        <v>205</v>
      </c>
      <c r="C181" s="12">
        <v>34</v>
      </c>
      <c r="E181" s="17" t="str">
        <f t="shared" si="12"/>
        <v>Fill5</v>
      </c>
      <c r="F181" s="17" t="str">
        <f t="shared" si="13"/>
        <v>3.0MG</v>
      </c>
      <c r="G181" s="17" t="str">
        <f t="shared" si="14"/>
        <v>Fill6</v>
      </c>
      <c r="H181" s="17" t="str">
        <f t="shared" si="15"/>
        <v>3.0MG</v>
      </c>
      <c r="I181" s="17">
        <f t="shared" si="16"/>
        <v>34</v>
      </c>
      <c r="J181" s="18">
        <f t="shared" si="17"/>
        <v>2.2280471821756225E-2</v>
      </c>
    </row>
    <row r="182" spans="1:10" x14ac:dyDescent="0.25">
      <c r="A182" s="12" t="s">
        <v>200</v>
      </c>
      <c r="B182" s="12" t="s">
        <v>200</v>
      </c>
      <c r="C182" s="12">
        <v>1</v>
      </c>
      <c r="E182" s="17" t="str">
        <f t="shared" ref="E182:E217" si="18">LEFT(A182,5)</f>
        <v>Fill6</v>
      </c>
      <c r="F182" s="17" t="str">
        <f t="shared" ref="F182:F217" si="19">MID(A182,FIND("_",A182)+1,LEN(A182)-FIND("_",A182))</f>
        <v>NoFill</v>
      </c>
      <c r="G182" s="17" t="str">
        <f t="shared" ref="G182:G217" si="20">LEFT(B182,5)</f>
        <v>Fill6</v>
      </c>
      <c r="H182" s="17" t="str">
        <f t="shared" ref="H182:H217" si="21">MID(B182,FIND("_",B182)+1,LEN(B182)-FIND("_",B182))</f>
        <v>NoFill</v>
      </c>
      <c r="I182" s="17">
        <f t="shared" ref="I182:I217" si="22">C182</f>
        <v>1</v>
      </c>
      <c r="J182" s="18">
        <f t="shared" ref="J182:J217" si="23">I182/SUMIF(E:E,E182,I:I)</f>
        <v>6.9979006298110562E-4</v>
      </c>
    </row>
    <row r="183" spans="1:10" x14ac:dyDescent="0.25">
      <c r="A183" s="12" t="s">
        <v>200</v>
      </c>
      <c r="B183" s="12" t="s">
        <v>201</v>
      </c>
      <c r="C183" s="12">
        <v>1</v>
      </c>
      <c r="E183" s="17" t="str">
        <f t="shared" si="18"/>
        <v>Fill6</v>
      </c>
      <c r="F183" s="17" t="str">
        <f t="shared" si="19"/>
        <v>NoFill</v>
      </c>
      <c r="G183" s="17" t="str">
        <f t="shared" si="20"/>
        <v>Fill6</v>
      </c>
      <c r="H183" s="17" t="str">
        <f t="shared" si="21"/>
        <v>0.8MG</v>
      </c>
      <c r="I183" s="17">
        <f t="shared" si="22"/>
        <v>1</v>
      </c>
      <c r="J183" s="18">
        <f t="shared" si="23"/>
        <v>6.9979006298110562E-4</v>
      </c>
    </row>
    <row r="184" spans="1:10" x14ac:dyDescent="0.25">
      <c r="A184" s="12" t="s">
        <v>200</v>
      </c>
      <c r="B184" s="12" t="s">
        <v>202</v>
      </c>
      <c r="C184" s="12">
        <v>1</v>
      </c>
      <c r="E184" s="17" t="str">
        <f t="shared" si="18"/>
        <v>Fill6</v>
      </c>
      <c r="F184" s="17" t="str">
        <f t="shared" si="19"/>
        <v>NoFill</v>
      </c>
      <c r="G184" s="17" t="str">
        <f t="shared" si="20"/>
        <v>Fill6</v>
      </c>
      <c r="H184" s="17" t="str">
        <f t="shared" si="21"/>
        <v>1.2MG</v>
      </c>
      <c r="I184" s="17">
        <f t="shared" si="22"/>
        <v>1</v>
      </c>
      <c r="J184" s="18">
        <f t="shared" si="23"/>
        <v>6.9979006298110562E-4</v>
      </c>
    </row>
    <row r="185" spans="1:10" x14ac:dyDescent="0.25">
      <c r="A185" s="12" t="s">
        <v>200</v>
      </c>
      <c r="B185" s="12" t="s">
        <v>203</v>
      </c>
      <c r="C185" s="12">
        <v>1</v>
      </c>
      <c r="E185" s="17" t="str">
        <f t="shared" si="18"/>
        <v>Fill6</v>
      </c>
      <c r="F185" s="17" t="str">
        <f t="shared" si="19"/>
        <v>NoFill</v>
      </c>
      <c r="G185" s="17" t="str">
        <f t="shared" si="20"/>
        <v>Fill6</v>
      </c>
      <c r="H185" s="17" t="str">
        <f t="shared" si="21"/>
        <v>1.7MG</v>
      </c>
      <c r="I185" s="17">
        <f t="shared" si="22"/>
        <v>1</v>
      </c>
      <c r="J185" s="18">
        <f t="shared" si="23"/>
        <v>6.9979006298110562E-4</v>
      </c>
    </row>
    <row r="186" spans="1:10" x14ac:dyDescent="0.25">
      <c r="A186" s="12" t="s">
        <v>200</v>
      </c>
      <c r="B186" s="12" t="s">
        <v>204</v>
      </c>
      <c r="C186" s="12">
        <v>1</v>
      </c>
      <c r="E186" s="17" t="str">
        <f t="shared" si="18"/>
        <v>Fill6</v>
      </c>
      <c r="F186" s="17" t="str">
        <f t="shared" si="19"/>
        <v>NoFill</v>
      </c>
      <c r="G186" s="17" t="str">
        <f t="shared" si="20"/>
        <v>Fill6</v>
      </c>
      <c r="H186" s="17" t="str">
        <f t="shared" si="21"/>
        <v>2.4MG</v>
      </c>
      <c r="I186" s="17">
        <f t="shared" si="22"/>
        <v>1</v>
      </c>
      <c r="J186" s="18">
        <f t="shared" si="23"/>
        <v>6.9979006298110562E-4</v>
      </c>
    </row>
    <row r="187" spans="1:10" x14ac:dyDescent="0.25">
      <c r="A187" s="12" t="s">
        <v>200</v>
      </c>
      <c r="B187" s="12" t="s">
        <v>205</v>
      </c>
      <c r="C187" s="12">
        <v>1</v>
      </c>
      <c r="E187" s="17" t="str">
        <f t="shared" si="18"/>
        <v>Fill6</v>
      </c>
      <c r="F187" s="17" t="str">
        <f t="shared" si="19"/>
        <v>NoFill</v>
      </c>
      <c r="G187" s="17" t="str">
        <f t="shared" si="20"/>
        <v>Fill6</v>
      </c>
      <c r="H187" s="17" t="str">
        <f t="shared" si="21"/>
        <v>3.0MG</v>
      </c>
      <c r="I187" s="17">
        <f t="shared" si="22"/>
        <v>1</v>
      </c>
      <c r="J187" s="18">
        <f t="shared" si="23"/>
        <v>6.9979006298110562E-4</v>
      </c>
    </row>
    <row r="188" spans="1:10" x14ac:dyDescent="0.25">
      <c r="A188" s="12" t="s">
        <v>201</v>
      </c>
      <c r="B188" s="12" t="s">
        <v>200</v>
      </c>
      <c r="C188" s="12">
        <v>31</v>
      </c>
      <c r="E188" s="17" t="str">
        <f t="shared" si="18"/>
        <v>Fill6</v>
      </c>
      <c r="F188" s="17" t="str">
        <f t="shared" si="19"/>
        <v>0.8MG</v>
      </c>
      <c r="G188" s="17" t="str">
        <f t="shared" si="20"/>
        <v>Fill6</v>
      </c>
      <c r="H188" s="17" t="str">
        <f t="shared" si="21"/>
        <v>NoFill</v>
      </c>
      <c r="I188" s="17">
        <f t="shared" si="22"/>
        <v>31</v>
      </c>
      <c r="J188" s="18">
        <f t="shared" si="23"/>
        <v>2.1693491952414275E-2</v>
      </c>
    </row>
    <row r="189" spans="1:10" x14ac:dyDescent="0.25">
      <c r="A189" s="12" t="s">
        <v>201</v>
      </c>
      <c r="B189" s="12" t="s">
        <v>201</v>
      </c>
      <c r="C189" s="12">
        <v>66</v>
      </c>
      <c r="E189" s="17" t="str">
        <f t="shared" si="18"/>
        <v>Fill6</v>
      </c>
      <c r="F189" s="17" t="str">
        <f t="shared" si="19"/>
        <v>0.8MG</v>
      </c>
      <c r="G189" s="17" t="str">
        <f t="shared" si="20"/>
        <v>Fill6</v>
      </c>
      <c r="H189" s="17" t="str">
        <f t="shared" si="21"/>
        <v>0.8MG</v>
      </c>
      <c r="I189" s="17">
        <f t="shared" si="22"/>
        <v>66</v>
      </c>
      <c r="J189" s="18">
        <f t="shared" si="23"/>
        <v>4.6186144156752977E-2</v>
      </c>
    </row>
    <row r="190" spans="1:10" x14ac:dyDescent="0.25">
      <c r="A190" s="12" t="s">
        <v>201</v>
      </c>
      <c r="B190" s="12" t="s">
        <v>202</v>
      </c>
      <c r="C190" s="12">
        <v>81</v>
      </c>
      <c r="E190" s="17" t="str">
        <f t="shared" si="18"/>
        <v>Fill6</v>
      </c>
      <c r="F190" s="17" t="str">
        <f t="shared" si="19"/>
        <v>0.8MG</v>
      </c>
      <c r="G190" s="17" t="str">
        <f t="shared" si="20"/>
        <v>Fill6</v>
      </c>
      <c r="H190" s="17" t="str">
        <f t="shared" si="21"/>
        <v>1.2MG</v>
      </c>
      <c r="I190" s="17">
        <f t="shared" si="22"/>
        <v>81</v>
      </c>
      <c r="J190" s="18">
        <f t="shared" si="23"/>
        <v>5.6682995101469562E-2</v>
      </c>
    </row>
    <row r="191" spans="1:10" x14ac:dyDescent="0.25">
      <c r="A191" s="12" t="s">
        <v>201</v>
      </c>
      <c r="B191" s="12" t="s">
        <v>203</v>
      </c>
      <c r="C191" s="12">
        <v>7</v>
      </c>
      <c r="E191" s="17" t="str">
        <f t="shared" si="18"/>
        <v>Fill6</v>
      </c>
      <c r="F191" s="17" t="str">
        <f t="shared" si="19"/>
        <v>0.8MG</v>
      </c>
      <c r="G191" s="17" t="str">
        <f t="shared" si="20"/>
        <v>Fill6</v>
      </c>
      <c r="H191" s="17" t="str">
        <f t="shared" si="21"/>
        <v>1.7MG</v>
      </c>
      <c r="I191" s="17">
        <f t="shared" si="22"/>
        <v>7</v>
      </c>
      <c r="J191" s="18">
        <f t="shared" si="23"/>
        <v>4.8985304408677398E-3</v>
      </c>
    </row>
    <row r="192" spans="1:10" x14ac:dyDescent="0.25">
      <c r="A192" s="12" t="s">
        <v>201</v>
      </c>
      <c r="B192" s="12" t="s">
        <v>204</v>
      </c>
      <c r="C192" s="12">
        <v>74</v>
      </c>
      <c r="E192" s="17" t="str">
        <f t="shared" si="18"/>
        <v>Fill6</v>
      </c>
      <c r="F192" s="17" t="str">
        <f t="shared" si="19"/>
        <v>0.8MG</v>
      </c>
      <c r="G192" s="17" t="str">
        <f t="shared" si="20"/>
        <v>Fill6</v>
      </c>
      <c r="H192" s="17" t="str">
        <f t="shared" si="21"/>
        <v>2.4MG</v>
      </c>
      <c r="I192" s="17">
        <f t="shared" si="22"/>
        <v>74</v>
      </c>
      <c r="J192" s="18">
        <f t="shared" si="23"/>
        <v>5.1784464660601819E-2</v>
      </c>
    </row>
    <row r="193" spans="1:10" x14ac:dyDescent="0.25">
      <c r="A193" s="12" t="s">
        <v>201</v>
      </c>
      <c r="B193" s="12" t="s">
        <v>205</v>
      </c>
      <c r="C193" s="12">
        <v>76</v>
      </c>
      <c r="E193" s="17" t="str">
        <f t="shared" si="18"/>
        <v>Fill6</v>
      </c>
      <c r="F193" s="17" t="str">
        <f t="shared" si="19"/>
        <v>0.8MG</v>
      </c>
      <c r="G193" s="17" t="str">
        <f t="shared" si="20"/>
        <v>Fill6</v>
      </c>
      <c r="H193" s="17" t="str">
        <f t="shared" si="21"/>
        <v>3.0MG</v>
      </c>
      <c r="I193" s="17">
        <f t="shared" si="22"/>
        <v>76</v>
      </c>
      <c r="J193" s="18">
        <f t="shared" si="23"/>
        <v>5.3184044786564029E-2</v>
      </c>
    </row>
    <row r="194" spans="1:10" x14ac:dyDescent="0.25">
      <c r="A194" s="12" t="s">
        <v>202</v>
      </c>
      <c r="B194" s="12" t="s">
        <v>200</v>
      </c>
      <c r="C194" s="12">
        <v>31</v>
      </c>
      <c r="E194" s="17" t="str">
        <f t="shared" si="18"/>
        <v>Fill6</v>
      </c>
      <c r="F194" s="17" t="str">
        <f t="shared" si="19"/>
        <v>1.2MG</v>
      </c>
      <c r="G194" s="17" t="str">
        <f t="shared" si="20"/>
        <v>Fill6</v>
      </c>
      <c r="H194" s="17" t="str">
        <f t="shared" si="21"/>
        <v>NoFill</v>
      </c>
      <c r="I194" s="17">
        <f t="shared" si="22"/>
        <v>31</v>
      </c>
      <c r="J194" s="18">
        <f t="shared" si="23"/>
        <v>2.1693491952414275E-2</v>
      </c>
    </row>
    <row r="195" spans="1:10" x14ac:dyDescent="0.25">
      <c r="A195" s="12" t="s">
        <v>202</v>
      </c>
      <c r="B195" s="12" t="s">
        <v>201</v>
      </c>
      <c r="C195" s="12">
        <v>13</v>
      </c>
      <c r="E195" s="17" t="str">
        <f t="shared" si="18"/>
        <v>Fill6</v>
      </c>
      <c r="F195" s="17" t="str">
        <f t="shared" si="19"/>
        <v>1.2MG</v>
      </c>
      <c r="G195" s="17" t="str">
        <f t="shared" si="20"/>
        <v>Fill6</v>
      </c>
      <c r="H195" s="17" t="str">
        <f t="shared" si="21"/>
        <v>0.8MG</v>
      </c>
      <c r="I195" s="17">
        <f t="shared" si="22"/>
        <v>13</v>
      </c>
      <c r="J195" s="18">
        <f t="shared" si="23"/>
        <v>9.0972708187543744E-3</v>
      </c>
    </row>
    <row r="196" spans="1:10" x14ac:dyDescent="0.25">
      <c r="A196" s="12" t="s">
        <v>202</v>
      </c>
      <c r="B196" s="12" t="s">
        <v>202</v>
      </c>
      <c r="C196" s="12">
        <v>66</v>
      </c>
      <c r="E196" s="17" t="str">
        <f t="shared" si="18"/>
        <v>Fill6</v>
      </c>
      <c r="F196" s="17" t="str">
        <f t="shared" si="19"/>
        <v>1.2MG</v>
      </c>
      <c r="G196" s="17" t="str">
        <f t="shared" si="20"/>
        <v>Fill6</v>
      </c>
      <c r="H196" s="17" t="str">
        <f t="shared" si="21"/>
        <v>1.2MG</v>
      </c>
      <c r="I196" s="17">
        <f t="shared" si="22"/>
        <v>66</v>
      </c>
      <c r="J196" s="18">
        <f t="shared" si="23"/>
        <v>4.6186144156752977E-2</v>
      </c>
    </row>
    <row r="197" spans="1:10" x14ac:dyDescent="0.25">
      <c r="A197" s="12" t="s">
        <v>202</v>
      </c>
      <c r="B197" s="12" t="s">
        <v>203</v>
      </c>
      <c r="C197" s="12">
        <v>41</v>
      </c>
      <c r="E197" s="17" t="str">
        <f t="shared" si="18"/>
        <v>Fill6</v>
      </c>
      <c r="F197" s="17" t="str">
        <f t="shared" si="19"/>
        <v>1.2MG</v>
      </c>
      <c r="G197" s="17" t="str">
        <f t="shared" si="20"/>
        <v>Fill6</v>
      </c>
      <c r="H197" s="17" t="str">
        <f t="shared" si="21"/>
        <v>1.7MG</v>
      </c>
      <c r="I197" s="17">
        <f t="shared" si="22"/>
        <v>41</v>
      </c>
      <c r="J197" s="18">
        <f t="shared" si="23"/>
        <v>2.8691392582225334E-2</v>
      </c>
    </row>
    <row r="198" spans="1:10" x14ac:dyDescent="0.25">
      <c r="A198" s="12" t="s">
        <v>202</v>
      </c>
      <c r="B198" s="12" t="s">
        <v>204</v>
      </c>
      <c r="C198" s="12">
        <v>55</v>
      </c>
      <c r="E198" s="17" t="str">
        <f t="shared" si="18"/>
        <v>Fill6</v>
      </c>
      <c r="F198" s="17" t="str">
        <f t="shared" si="19"/>
        <v>1.2MG</v>
      </c>
      <c r="G198" s="17" t="str">
        <f t="shared" si="20"/>
        <v>Fill6</v>
      </c>
      <c r="H198" s="17" t="str">
        <f t="shared" si="21"/>
        <v>2.4MG</v>
      </c>
      <c r="I198" s="17">
        <f t="shared" si="22"/>
        <v>55</v>
      </c>
      <c r="J198" s="18">
        <f t="shared" si="23"/>
        <v>3.8488453463960813E-2</v>
      </c>
    </row>
    <row r="199" spans="1:10" x14ac:dyDescent="0.25">
      <c r="A199" s="12" t="s">
        <v>202</v>
      </c>
      <c r="B199" s="12" t="s">
        <v>205</v>
      </c>
      <c r="C199" s="12">
        <v>48</v>
      </c>
      <c r="E199" s="17" t="str">
        <f t="shared" si="18"/>
        <v>Fill6</v>
      </c>
      <c r="F199" s="17" t="str">
        <f t="shared" si="19"/>
        <v>1.2MG</v>
      </c>
      <c r="G199" s="17" t="str">
        <f t="shared" si="20"/>
        <v>Fill6</v>
      </c>
      <c r="H199" s="17" t="str">
        <f t="shared" si="21"/>
        <v>3.0MG</v>
      </c>
      <c r="I199" s="17">
        <f t="shared" si="22"/>
        <v>48</v>
      </c>
      <c r="J199" s="18">
        <f t="shared" si="23"/>
        <v>3.358992302309307E-2</v>
      </c>
    </row>
    <row r="200" spans="1:10" x14ac:dyDescent="0.25">
      <c r="A200" s="12" t="s">
        <v>203</v>
      </c>
      <c r="B200" s="12" t="s">
        <v>200</v>
      </c>
      <c r="C200" s="12">
        <v>28</v>
      </c>
      <c r="E200" s="17" t="str">
        <f t="shared" si="18"/>
        <v>Fill6</v>
      </c>
      <c r="F200" s="17" t="str">
        <f t="shared" si="19"/>
        <v>1.7MG</v>
      </c>
      <c r="G200" s="17" t="str">
        <f t="shared" si="20"/>
        <v>Fill6</v>
      </c>
      <c r="H200" s="17" t="str">
        <f t="shared" si="21"/>
        <v>NoFill</v>
      </c>
      <c r="I200" s="17">
        <f t="shared" si="22"/>
        <v>28</v>
      </c>
      <c r="J200" s="18">
        <f t="shared" si="23"/>
        <v>1.9594121763470959E-2</v>
      </c>
    </row>
    <row r="201" spans="1:10" x14ac:dyDescent="0.25">
      <c r="A201" s="12" t="s">
        <v>203</v>
      </c>
      <c r="B201" s="12" t="s">
        <v>201</v>
      </c>
      <c r="C201" s="12">
        <v>83</v>
      </c>
      <c r="E201" s="17" t="str">
        <f t="shared" si="18"/>
        <v>Fill6</v>
      </c>
      <c r="F201" s="17" t="str">
        <f t="shared" si="19"/>
        <v>1.7MG</v>
      </c>
      <c r="G201" s="17" t="str">
        <f t="shared" si="20"/>
        <v>Fill6</v>
      </c>
      <c r="H201" s="17" t="str">
        <f t="shared" si="21"/>
        <v>0.8MG</v>
      </c>
      <c r="I201" s="17">
        <f t="shared" si="22"/>
        <v>83</v>
      </c>
      <c r="J201" s="18">
        <f t="shared" si="23"/>
        <v>5.8082575227431772E-2</v>
      </c>
    </row>
    <row r="202" spans="1:10" x14ac:dyDescent="0.25">
      <c r="A202" s="12" t="s">
        <v>203</v>
      </c>
      <c r="B202" s="12" t="s">
        <v>202</v>
      </c>
      <c r="C202" s="12">
        <v>63</v>
      </c>
      <c r="E202" s="17" t="str">
        <f t="shared" si="18"/>
        <v>Fill6</v>
      </c>
      <c r="F202" s="17" t="str">
        <f t="shared" si="19"/>
        <v>1.7MG</v>
      </c>
      <c r="G202" s="17" t="str">
        <f t="shared" si="20"/>
        <v>Fill6</v>
      </c>
      <c r="H202" s="17" t="str">
        <f t="shared" si="21"/>
        <v>1.2MG</v>
      </c>
      <c r="I202" s="17">
        <f t="shared" si="22"/>
        <v>63</v>
      </c>
      <c r="J202" s="18">
        <f t="shared" si="23"/>
        <v>4.4086773967809655E-2</v>
      </c>
    </row>
    <row r="203" spans="1:10" x14ac:dyDescent="0.25">
      <c r="A203" s="12" t="s">
        <v>203</v>
      </c>
      <c r="B203" s="12" t="s">
        <v>203</v>
      </c>
      <c r="C203" s="12">
        <v>36</v>
      </c>
      <c r="E203" s="17" t="str">
        <f t="shared" si="18"/>
        <v>Fill6</v>
      </c>
      <c r="F203" s="17" t="str">
        <f t="shared" si="19"/>
        <v>1.7MG</v>
      </c>
      <c r="G203" s="17" t="str">
        <f t="shared" si="20"/>
        <v>Fill6</v>
      </c>
      <c r="H203" s="17" t="str">
        <f t="shared" si="21"/>
        <v>1.7MG</v>
      </c>
      <c r="I203" s="17">
        <f t="shared" si="22"/>
        <v>36</v>
      </c>
      <c r="J203" s="18">
        <f t="shared" si="23"/>
        <v>2.5192442267319804E-2</v>
      </c>
    </row>
    <row r="204" spans="1:10" x14ac:dyDescent="0.25">
      <c r="A204" s="12" t="s">
        <v>203</v>
      </c>
      <c r="B204" s="12" t="s">
        <v>204</v>
      </c>
      <c r="C204" s="12">
        <v>92</v>
      </c>
      <c r="E204" s="17" t="str">
        <f t="shared" si="18"/>
        <v>Fill6</v>
      </c>
      <c r="F204" s="17" t="str">
        <f t="shared" si="19"/>
        <v>1.7MG</v>
      </c>
      <c r="G204" s="17" t="str">
        <f t="shared" si="20"/>
        <v>Fill6</v>
      </c>
      <c r="H204" s="17" t="str">
        <f t="shared" si="21"/>
        <v>2.4MG</v>
      </c>
      <c r="I204" s="17">
        <f t="shared" si="22"/>
        <v>92</v>
      </c>
      <c r="J204" s="18">
        <f t="shared" si="23"/>
        <v>6.4380685794261719E-2</v>
      </c>
    </row>
    <row r="205" spans="1:10" x14ac:dyDescent="0.25">
      <c r="A205" s="12" t="s">
        <v>203</v>
      </c>
      <c r="B205" s="12" t="s">
        <v>205</v>
      </c>
      <c r="C205" s="12">
        <v>56</v>
      </c>
      <c r="E205" s="17" t="str">
        <f t="shared" si="18"/>
        <v>Fill6</v>
      </c>
      <c r="F205" s="17" t="str">
        <f t="shared" si="19"/>
        <v>1.7MG</v>
      </c>
      <c r="G205" s="17" t="str">
        <f t="shared" si="20"/>
        <v>Fill6</v>
      </c>
      <c r="H205" s="17" t="str">
        <f t="shared" si="21"/>
        <v>3.0MG</v>
      </c>
      <c r="I205" s="17">
        <f t="shared" si="22"/>
        <v>56</v>
      </c>
      <c r="J205" s="18">
        <f t="shared" si="23"/>
        <v>3.9188243526941918E-2</v>
      </c>
    </row>
    <row r="206" spans="1:10" x14ac:dyDescent="0.25">
      <c r="A206" s="12" t="s">
        <v>204</v>
      </c>
      <c r="B206" s="12" t="s">
        <v>200</v>
      </c>
      <c r="C206" s="12">
        <v>66</v>
      </c>
      <c r="E206" s="17" t="str">
        <f t="shared" si="18"/>
        <v>Fill6</v>
      </c>
      <c r="F206" s="17" t="str">
        <f t="shared" si="19"/>
        <v>2.4MG</v>
      </c>
      <c r="G206" s="17" t="str">
        <f t="shared" si="20"/>
        <v>Fill6</v>
      </c>
      <c r="H206" s="17" t="str">
        <f t="shared" si="21"/>
        <v>NoFill</v>
      </c>
      <c r="I206" s="17">
        <f t="shared" si="22"/>
        <v>66</v>
      </c>
      <c r="J206" s="18">
        <f t="shared" si="23"/>
        <v>4.6186144156752977E-2</v>
      </c>
    </row>
    <row r="207" spans="1:10" x14ac:dyDescent="0.25">
      <c r="A207" s="12" t="s">
        <v>204</v>
      </c>
      <c r="B207" s="12" t="s">
        <v>201</v>
      </c>
      <c r="C207" s="12">
        <v>62</v>
      </c>
      <c r="E207" s="17" t="str">
        <f t="shared" si="18"/>
        <v>Fill6</v>
      </c>
      <c r="F207" s="17" t="str">
        <f t="shared" si="19"/>
        <v>2.4MG</v>
      </c>
      <c r="G207" s="17" t="str">
        <f t="shared" si="20"/>
        <v>Fill6</v>
      </c>
      <c r="H207" s="17" t="str">
        <f t="shared" si="21"/>
        <v>0.8MG</v>
      </c>
      <c r="I207" s="17">
        <f t="shared" si="22"/>
        <v>62</v>
      </c>
      <c r="J207" s="18">
        <f t="shared" si="23"/>
        <v>4.3386983904828549E-2</v>
      </c>
    </row>
    <row r="208" spans="1:10" x14ac:dyDescent="0.25">
      <c r="A208" s="12" t="s">
        <v>204</v>
      </c>
      <c r="B208" s="12" t="s">
        <v>202</v>
      </c>
      <c r="C208" s="12">
        <v>56</v>
      </c>
      <c r="E208" s="17" t="str">
        <f t="shared" si="18"/>
        <v>Fill6</v>
      </c>
      <c r="F208" s="17" t="str">
        <f t="shared" si="19"/>
        <v>2.4MG</v>
      </c>
      <c r="G208" s="17" t="str">
        <f t="shared" si="20"/>
        <v>Fill6</v>
      </c>
      <c r="H208" s="17" t="str">
        <f t="shared" si="21"/>
        <v>1.2MG</v>
      </c>
      <c r="I208" s="17">
        <f t="shared" si="22"/>
        <v>56</v>
      </c>
      <c r="J208" s="18">
        <f t="shared" si="23"/>
        <v>3.9188243526941918E-2</v>
      </c>
    </row>
    <row r="209" spans="1:10" x14ac:dyDescent="0.25">
      <c r="A209" s="12" t="s">
        <v>204</v>
      </c>
      <c r="B209" s="12" t="s">
        <v>203</v>
      </c>
      <c r="C209" s="12">
        <v>16</v>
      </c>
      <c r="E209" s="17" t="str">
        <f t="shared" si="18"/>
        <v>Fill6</v>
      </c>
      <c r="F209" s="17" t="str">
        <f t="shared" si="19"/>
        <v>2.4MG</v>
      </c>
      <c r="G209" s="17" t="str">
        <f t="shared" si="20"/>
        <v>Fill6</v>
      </c>
      <c r="H209" s="17" t="str">
        <f t="shared" si="21"/>
        <v>1.7MG</v>
      </c>
      <c r="I209" s="17">
        <f t="shared" si="22"/>
        <v>16</v>
      </c>
      <c r="J209" s="18">
        <f t="shared" si="23"/>
        <v>1.119664100769769E-2</v>
      </c>
    </row>
    <row r="210" spans="1:10" x14ac:dyDescent="0.25">
      <c r="A210" s="12" t="s">
        <v>204</v>
      </c>
      <c r="B210" s="12" t="s">
        <v>204</v>
      </c>
      <c r="C210" s="12">
        <v>43</v>
      </c>
      <c r="E210" s="17" t="str">
        <f t="shared" si="18"/>
        <v>Fill6</v>
      </c>
      <c r="F210" s="17" t="str">
        <f t="shared" si="19"/>
        <v>2.4MG</v>
      </c>
      <c r="G210" s="17" t="str">
        <f t="shared" si="20"/>
        <v>Fill6</v>
      </c>
      <c r="H210" s="17" t="str">
        <f t="shared" si="21"/>
        <v>2.4MG</v>
      </c>
      <c r="I210" s="17">
        <f t="shared" si="22"/>
        <v>43</v>
      </c>
      <c r="J210" s="18">
        <f t="shared" si="23"/>
        <v>3.0090972708187544E-2</v>
      </c>
    </row>
    <row r="211" spans="1:10" x14ac:dyDescent="0.25">
      <c r="A211" s="12" t="s">
        <v>204</v>
      </c>
      <c r="B211" s="12" t="s">
        <v>205</v>
      </c>
      <c r="C211" s="12">
        <v>6</v>
      </c>
      <c r="E211" s="17" t="str">
        <f t="shared" si="18"/>
        <v>Fill6</v>
      </c>
      <c r="F211" s="17" t="str">
        <f t="shared" si="19"/>
        <v>2.4MG</v>
      </c>
      <c r="G211" s="17" t="str">
        <f t="shared" si="20"/>
        <v>Fill6</v>
      </c>
      <c r="H211" s="17" t="str">
        <f t="shared" si="21"/>
        <v>3.0MG</v>
      </c>
      <c r="I211" s="17">
        <f t="shared" si="22"/>
        <v>6</v>
      </c>
      <c r="J211" s="18">
        <f t="shared" si="23"/>
        <v>4.1987403778866337E-3</v>
      </c>
    </row>
    <row r="212" spans="1:10" x14ac:dyDescent="0.25">
      <c r="A212" s="12" t="s">
        <v>205</v>
      </c>
      <c r="B212" s="12" t="s">
        <v>200</v>
      </c>
      <c r="C212" s="12">
        <v>7</v>
      </c>
      <c r="E212" s="17" t="str">
        <f t="shared" si="18"/>
        <v>Fill6</v>
      </c>
      <c r="F212" s="17" t="str">
        <f t="shared" si="19"/>
        <v>3.0MG</v>
      </c>
      <c r="G212" s="17" t="str">
        <f t="shared" si="20"/>
        <v>Fill6</v>
      </c>
      <c r="H212" s="17" t="str">
        <f t="shared" si="21"/>
        <v>NoFill</v>
      </c>
      <c r="I212" s="17">
        <f t="shared" si="22"/>
        <v>7</v>
      </c>
      <c r="J212" s="18">
        <f t="shared" si="23"/>
        <v>4.8985304408677398E-3</v>
      </c>
    </row>
    <row r="213" spans="1:10" x14ac:dyDescent="0.25">
      <c r="A213" s="12" t="s">
        <v>205</v>
      </c>
      <c r="B213" s="12" t="s">
        <v>201</v>
      </c>
      <c r="C213" s="12">
        <v>60</v>
      </c>
      <c r="E213" s="17" t="str">
        <f t="shared" si="18"/>
        <v>Fill6</v>
      </c>
      <c r="F213" s="17" t="str">
        <f t="shared" si="19"/>
        <v>3.0MG</v>
      </c>
      <c r="G213" s="17" t="str">
        <f t="shared" si="20"/>
        <v>Fill6</v>
      </c>
      <c r="H213" s="17" t="str">
        <f t="shared" si="21"/>
        <v>0.8MG</v>
      </c>
      <c r="I213" s="17">
        <f t="shared" si="22"/>
        <v>60</v>
      </c>
      <c r="J213" s="18">
        <f t="shared" si="23"/>
        <v>4.1987403778866339E-2</v>
      </c>
    </row>
    <row r="214" spans="1:10" x14ac:dyDescent="0.25">
      <c r="A214" s="12" t="s">
        <v>205</v>
      </c>
      <c r="B214" s="12" t="s">
        <v>202</v>
      </c>
      <c r="C214" s="12">
        <v>85</v>
      </c>
      <c r="E214" s="17" t="str">
        <f t="shared" si="18"/>
        <v>Fill6</v>
      </c>
      <c r="F214" s="17" t="str">
        <f t="shared" si="19"/>
        <v>3.0MG</v>
      </c>
      <c r="G214" s="17" t="str">
        <f t="shared" si="20"/>
        <v>Fill6</v>
      </c>
      <c r="H214" s="17" t="str">
        <f t="shared" si="21"/>
        <v>1.2MG</v>
      </c>
      <c r="I214" s="17">
        <f t="shared" si="22"/>
        <v>85</v>
      </c>
      <c r="J214" s="18">
        <f t="shared" si="23"/>
        <v>5.9482155353393983E-2</v>
      </c>
    </row>
    <row r="215" spans="1:10" x14ac:dyDescent="0.25">
      <c r="A215" s="12" t="s">
        <v>205</v>
      </c>
      <c r="B215" s="12" t="s">
        <v>203</v>
      </c>
      <c r="C215" s="12">
        <v>63</v>
      </c>
      <c r="E215" s="17" t="str">
        <f t="shared" si="18"/>
        <v>Fill6</v>
      </c>
      <c r="F215" s="17" t="str">
        <f t="shared" si="19"/>
        <v>3.0MG</v>
      </c>
      <c r="G215" s="17" t="str">
        <f t="shared" si="20"/>
        <v>Fill6</v>
      </c>
      <c r="H215" s="17" t="str">
        <f t="shared" si="21"/>
        <v>1.7MG</v>
      </c>
      <c r="I215" s="17">
        <f t="shared" si="22"/>
        <v>63</v>
      </c>
      <c r="J215" s="18">
        <f t="shared" si="23"/>
        <v>4.4086773967809655E-2</v>
      </c>
    </row>
    <row r="216" spans="1:10" x14ac:dyDescent="0.25">
      <c r="A216" s="12" t="s">
        <v>205</v>
      </c>
      <c r="B216" s="12" t="s">
        <v>204</v>
      </c>
      <c r="C216" s="12">
        <v>6</v>
      </c>
      <c r="E216" s="17" t="str">
        <f t="shared" si="18"/>
        <v>Fill6</v>
      </c>
      <c r="F216" s="17" t="str">
        <f t="shared" si="19"/>
        <v>3.0MG</v>
      </c>
      <c r="G216" s="17" t="str">
        <f t="shared" si="20"/>
        <v>Fill6</v>
      </c>
      <c r="H216" s="17" t="str">
        <f t="shared" si="21"/>
        <v>2.4MG</v>
      </c>
      <c r="I216" s="17">
        <f t="shared" si="22"/>
        <v>6</v>
      </c>
      <c r="J216" s="18">
        <f t="shared" si="23"/>
        <v>4.1987403778866337E-3</v>
      </c>
    </row>
    <row r="217" spans="1:10" x14ac:dyDescent="0.25">
      <c r="A217" s="12" t="s">
        <v>205</v>
      </c>
      <c r="B217" s="12" t="s">
        <v>205</v>
      </c>
      <c r="C217" s="12">
        <v>6</v>
      </c>
      <c r="E217" s="17" t="str">
        <f t="shared" si="18"/>
        <v>Fill6</v>
      </c>
      <c r="F217" s="17" t="str">
        <f t="shared" si="19"/>
        <v>3.0MG</v>
      </c>
      <c r="G217" s="17" t="str">
        <f t="shared" si="20"/>
        <v>Fill6</v>
      </c>
      <c r="H217" s="17" t="str">
        <f t="shared" si="21"/>
        <v>3.0MG</v>
      </c>
      <c r="I217" s="17">
        <f t="shared" si="22"/>
        <v>6</v>
      </c>
      <c r="J217" s="18">
        <f t="shared" si="23"/>
        <v>4.1987403778866337E-3</v>
      </c>
    </row>
  </sheetData>
  <autoFilter ref="E1:J217" xr:uid="{30E92099-E457-43AE-ADC6-1E64208EB6B5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E9528-610E-4705-8F4D-EB255802F13E}">
  <sheetPr codeName="Sheet22"/>
  <dimension ref="A1:G1001"/>
  <sheetViews>
    <sheetView topLeftCell="A970" workbookViewId="0">
      <selection sqref="A1:G1001"/>
    </sheetView>
  </sheetViews>
  <sheetFormatPr defaultRowHeight="15" x14ac:dyDescent="0.25"/>
  <cols>
    <col min="1" max="1" width="11.42578125" bestFit="1" customWidth="1"/>
    <col min="2" max="7" width="6.42578125" bestFit="1" customWidth="1"/>
  </cols>
  <sheetData>
    <row r="1" spans="1:7" x14ac:dyDescent="0.25">
      <c r="A1" t="s">
        <v>232</v>
      </c>
      <c r="B1" t="s">
        <v>210</v>
      </c>
      <c r="C1" t="s">
        <v>211</v>
      </c>
      <c r="D1" t="s">
        <v>212</v>
      </c>
      <c r="E1" t="s">
        <v>213</v>
      </c>
      <c r="F1" t="s">
        <v>214</v>
      </c>
      <c r="G1" t="s">
        <v>225</v>
      </c>
    </row>
    <row r="2" spans="1:7" x14ac:dyDescent="0.25">
      <c r="A2">
        <v>1</v>
      </c>
      <c r="B2" t="s">
        <v>216</v>
      </c>
      <c r="C2" t="s">
        <v>218</v>
      </c>
      <c r="D2" t="s">
        <v>217</v>
      </c>
      <c r="E2" t="s">
        <v>221</v>
      </c>
      <c r="F2" t="s">
        <v>216</v>
      </c>
      <c r="G2" t="s">
        <v>221</v>
      </c>
    </row>
    <row r="3" spans="1:7" x14ac:dyDescent="0.25">
      <c r="A3">
        <v>2</v>
      </c>
      <c r="B3" t="s">
        <v>217</v>
      </c>
      <c r="C3" t="s">
        <v>221</v>
      </c>
      <c r="D3" t="s">
        <v>217</v>
      </c>
      <c r="E3" t="s">
        <v>221</v>
      </c>
      <c r="F3" t="s">
        <v>221</v>
      </c>
      <c r="G3" t="s">
        <v>218</v>
      </c>
    </row>
    <row r="4" spans="1:7" x14ac:dyDescent="0.25">
      <c r="A4">
        <v>3</v>
      </c>
      <c r="B4" t="s">
        <v>217</v>
      </c>
      <c r="C4" t="s">
        <v>219</v>
      </c>
      <c r="D4" t="s">
        <v>216</v>
      </c>
      <c r="E4" t="s">
        <v>217</v>
      </c>
      <c r="F4" t="s">
        <v>216</v>
      </c>
      <c r="G4" t="s">
        <v>221</v>
      </c>
    </row>
    <row r="5" spans="1:7" x14ac:dyDescent="0.25">
      <c r="A5">
        <v>4</v>
      </c>
      <c r="B5" t="s">
        <v>216</v>
      </c>
      <c r="C5" t="s">
        <v>216</v>
      </c>
      <c r="D5" t="s">
        <v>219</v>
      </c>
      <c r="E5" t="s">
        <v>220</v>
      </c>
      <c r="F5" t="s">
        <v>221</v>
      </c>
      <c r="G5" t="s">
        <v>216</v>
      </c>
    </row>
    <row r="6" spans="1:7" x14ac:dyDescent="0.25">
      <c r="A6">
        <v>5</v>
      </c>
      <c r="B6" t="s">
        <v>218</v>
      </c>
      <c r="C6" t="s">
        <v>221</v>
      </c>
      <c r="D6" t="s">
        <v>218</v>
      </c>
      <c r="E6" t="s">
        <v>221</v>
      </c>
      <c r="F6" t="s">
        <v>221</v>
      </c>
      <c r="G6" t="s">
        <v>221</v>
      </c>
    </row>
    <row r="7" spans="1:7" x14ac:dyDescent="0.25">
      <c r="A7">
        <v>6</v>
      </c>
      <c r="B7" t="s">
        <v>218</v>
      </c>
      <c r="C7" t="s">
        <v>216</v>
      </c>
      <c r="D7" t="s">
        <v>219</v>
      </c>
      <c r="E7" t="s">
        <v>221</v>
      </c>
      <c r="F7" t="s">
        <v>218</v>
      </c>
      <c r="G7" t="s">
        <v>221</v>
      </c>
    </row>
    <row r="8" spans="1:7" x14ac:dyDescent="0.25">
      <c r="A8">
        <v>7</v>
      </c>
      <c r="B8" t="s">
        <v>216</v>
      </c>
      <c r="C8" t="s">
        <v>217</v>
      </c>
      <c r="D8" t="s">
        <v>221</v>
      </c>
      <c r="E8" t="s">
        <v>221</v>
      </c>
      <c r="F8" t="s">
        <v>217</v>
      </c>
      <c r="G8" t="s">
        <v>221</v>
      </c>
    </row>
    <row r="9" spans="1:7" x14ac:dyDescent="0.25">
      <c r="A9">
        <v>8</v>
      </c>
      <c r="B9" t="s">
        <v>216</v>
      </c>
      <c r="C9" t="s">
        <v>216</v>
      </c>
      <c r="D9" t="s">
        <v>217</v>
      </c>
      <c r="E9" t="s">
        <v>218</v>
      </c>
      <c r="F9" t="s">
        <v>220</v>
      </c>
      <c r="G9" t="s">
        <v>221</v>
      </c>
    </row>
    <row r="10" spans="1:7" x14ac:dyDescent="0.25">
      <c r="A10">
        <v>9</v>
      </c>
      <c r="B10" t="s">
        <v>216</v>
      </c>
      <c r="C10" t="s">
        <v>216</v>
      </c>
      <c r="D10" t="s">
        <v>218</v>
      </c>
      <c r="E10" t="s">
        <v>216</v>
      </c>
      <c r="F10" t="s">
        <v>221</v>
      </c>
      <c r="G10" t="s">
        <v>221</v>
      </c>
    </row>
    <row r="11" spans="1:7" x14ac:dyDescent="0.25">
      <c r="A11">
        <v>10</v>
      </c>
      <c r="B11" t="s">
        <v>219</v>
      </c>
      <c r="C11" t="s">
        <v>216</v>
      </c>
      <c r="D11" t="s">
        <v>217</v>
      </c>
      <c r="E11" t="s">
        <v>216</v>
      </c>
      <c r="F11" t="s">
        <v>216</v>
      </c>
      <c r="G11" t="s">
        <v>216</v>
      </c>
    </row>
    <row r="12" spans="1:7" x14ac:dyDescent="0.25">
      <c r="A12">
        <v>11</v>
      </c>
      <c r="B12" t="s">
        <v>216</v>
      </c>
      <c r="C12" t="s">
        <v>217</v>
      </c>
      <c r="D12" t="s">
        <v>218</v>
      </c>
      <c r="E12" t="s">
        <v>218</v>
      </c>
      <c r="F12" t="s">
        <v>221</v>
      </c>
      <c r="G12" t="s">
        <v>219</v>
      </c>
    </row>
    <row r="13" spans="1:7" x14ac:dyDescent="0.25">
      <c r="A13">
        <v>12</v>
      </c>
      <c r="B13" t="s">
        <v>216</v>
      </c>
      <c r="C13" t="s">
        <v>217</v>
      </c>
      <c r="D13" t="s">
        <v>217</v>
      </c>
      <c r="E13" t="s">
        <v>216</v>
      </c>
      <c r="F13" t="s">
        <v>220</v>
      </c>
      <c r="G13" t="s">
        <v>216</v>
      </c>
    </row>
    <row r="14" spans="1:7" x14ac:dyDescent="0.25">
      <c r="A14">
        <v>13</v>
      </c>
      <c r="B14" t="s">
        <v>216</v>
      </c>
      <c r="C14" t="s">
        <v>221</v>
      </c>
      <c r="D14" t="s">
        <v>219</v>
      </c>
      <c r="E14" t="s">
        <v>216</v>
      </c>
      <c r="F14" t="s">
        <v>221</v>
      </c>
      <c r="G14" t="s">
        <v>219</v>
      </c>
    </row>
    <row r="15" spans="1:7" x14ac:dyDescent="0.25">
      <c r="A15">
        <v>14</v>
      </c>
      <c r="B15" t="s">
        <v>220</v>
      </c>
      <c r="C15" t="s">
        <v>216</v>
      </c>
      <c r="D15" t="s">
        <v>220</v>
      </c>
      <c r="E15" t="s">
        <v>221</v>
      </c>
      <c r="F15" t="s">
        <v>216</v>
      </c>
      <c r="G15" t="s">
        <v>221</v>
      </c>
    </row>
    <row r="16" spans="1:7" x14ac:dyDescent="0.25">
      <c r="A16">
        <v>15</v>
      </c>
      <c r="B16" t="s">
        <v>216</v>
      </c>
      <c r="C16" t="s">
        <v>218</v>
      </c>
      <c r="D16" t="s">
        <v>216</v>
      </c>
      <c r="E16" t="s">
        <v>221</v>
      </c>
      <c r="F16" t="s">
        <v>221</v>
      </c>
      <c r="G16" t="s">
        <v>217</v>
      </c>
    </row>
    <row r="17" spans="1:7" x14ac:dyDescent="0.25">
      <c r="A17">
        <v>16</v>
      </c>
      <c r="B17" t="s">
        <v>217</v>
      </c>
      <c r="C17" t="s">
        <v>218</v>
      </c>
      <c r="D17" t="s">
        <v>216</v>
      </c>
      <c r="E17" t="s">
        <v>216</v>
      </c>
      <c r="F17" t="s">
        <v>221</v>
      </c>
      <c r="G17" t="s">
        <v>216</v>
      </c>
    </row>
    <row r="18" spans="1:7" x14ac:dyDescent="0.25">
      <c r="A18">
        <v>17</v>
      </c>
      <c r="B18" t="s">
        <v>216</v>
      </c>
      <c r="C18" t="s">
        <v>216</v>
      </c>
      <c r="D18" t="s">
        <v>217</v>
      </c>
      <c r="E18" t="s">
        <v>217</v>
      </c>
      <c r="F18" t="s">
        <v>221</v>
      </c>
      <c r="G18" t="s">
        <v>221</v>
      </c>
    </row>
    <row r="19" spans="1:7" x14ac:dyDescent="0.25">
      <c r="A19">
        <v>18</v>
      </c>
      <c r="B19" t="s">
        <v>216</v>
      </c>
      <c r="C19" t="s">
        <v>216</v>
      </c>
      <c r="D19" t="s">
        <v>218</v>
      </c>
      <c r="E19" t="s">
        <v>219</v>
      </c>
      <c r="F19" t="s">
        <v>216</v>
      </c>
      <c r="G19" t="s">
        <v>216</v>
      </c>
    </row>
    <row r="20" spans="1:7" x14ac:dyDescent="0.25">
      <c r="A20">
        <v>19</v>
      </c>
      <c r="B20" t="s">
        <v>216</v>
      </c>
      <c r="C20" t="s">
        <v>219</v>
      </c>
      <c r="D20" t="s">
        <v>219</v>
      </c>
      <c r="E20" t="s">
        <v>218</v>
      </c>
      <c r="F20" t="s">
        <v>218</v>
      </c>
      <c r="G20" t="s">
        <v>221</v>
      </c>
    </row>
    <row r="21" spans="1:7" x14ac:dyDescent="0.25">
      <c r="A21">
        <v>20</v>
      </c>
      <c r="B21" t="s">
        <v>216</v>
      </c>
      <c r="C21" t="s">
        <v>217</v>
      </c>
      <c r="D21" t="s">
        <v>221</v>
      </c>
      <c r="E21" t="s">
        <v>221</v>
      </c>
      <c r="F21" t="s">
        <v>218</v>
      </c>
      <c r="G21" t="s">
        <v>221</v>
      </c>
    </row>
    <row r="22" spans="1:7" x14ac:dyDescent="0.25">
      <c r="A22">
        <v>21</v>
      </c>
      <c r="B22" t="s">
        <v>217</v>
      </c>
      <c r="C22" t="s">
        <v>216</v>
      </c>
      <c r="D22" t="s">
        <v>217</v>
      </c>
      <c r="E22" t="s">
        <v>217</v>
      </c>
      <c r="F22" t="s">
        <v>218</v>
      </c>
      <c r="G22" t="s">
        <v>221</v>
      </c>
    </row>
    <row r="23" spans="1:7" x14ac:dyDescent="0.25">
      <c r="A23">
        <v>22</v>
      </c>
      <c r="B23" t="s">
        <v>218</v>
      </c>
      <c r="C23" t="s">
        <v>221</v>
      </c>
      <c r="D23" t="s">
        <v>221</v>
      </c>
      <c r="E23" t="s">
        <v>218</v>
      </c>
      <c r="F23" t="s">
        <v>221</v>
      </c>
      <c r="G23" t="s">
        <v>217</v>
      </c>
    </row>
    <row r="24" spans="1:7" x14ac:dyDescent="0.25">
      <c r="A24">
        <v>23</v>
      </c>
      <c r="B24" t="s">
        <v>216</v>
      </c>
      <c r="C24" t="s">
        <v>216</v>
      </c>
      <c r="D24" t="s">
        <v>216</v>
      </c>
      <c r="E24" t="s">
        <v>219</v>
      </c>
      <c r="F24" t="s">
        <v>216</v>
      </c>
      <c r="G24" t="s">
        <v>218</v>
      </c>
    </row>
    <row r="25" spans="1:7" x14ac:dyDescent="0.25">
      <c r="A25">
        <v>24</v>
      </c>
      <c r="B25" t="s">
        <v>220</v>
      </c>
      <c r="C25" t="s">
        <v>216</v>
      </c>
      <c r="D25" t="s">
        <v>216</v>
      </c>
      <c r="E25" t="s">
        <v>216</v>
      </c>
      <c r="F25" t="s">
        <v>221</v>
      </c>
      <c r="G25" t="s">
        <v>221</v>
      </c>
    </row>
    <row r="26" spans="1:7" x14ac:dyDescent="0.25">
      <c r="A26">
        <v>25</v>
      </c>
      <c r="B26" t="s">
        <v>218</v>
      </c>
      <c r="C26" t="s">
        <v>216</v>
      </c>
      <c r="D26" t="s">
        <v>216</v>
      </c>
      <c r="E26" t="s">
        <v>216</v>
      </c>
      <c r="F26" t="s">
        <v>216</v>
      </c>
      <c r="G26" t="s">
        <v>221</v>
      </c>
    </row>
    <row r="27" spans="1:7" x14ac:dyDescent="0.25">
      <c r="A27">
        <v>26</v>
      </c>
      <c r="B27" t="s">
        <v>219</v>
      </c>
      <c r="C27" t="s">
        <v>217</v>
      </c>
      <c r="D27" t="s">
        <v>216</v>
      </c>
      <c r="E27" t="s">
        <v>221</v>
      </c>
      <c r="F27" t="s">
        <v>221</v>
      </c>
      <c r="G27" t="s">
        <v>221</v>
      </c>
    </row>
    <row r="28" spans="1:7" x14ac:dyDescent="0.25">
      <c r="A28">
        <v>27</v>
      </c>
      <c r="B28" t="s">
        <v>216</v>
      </c>
      <c r="C28" t="s">
        <v>218</v>
      </c>
      <c r="D28" t="s">
        <v>221</v>
      </c>
      <c r="E28" t="s">
        <v>221</v>
      </c>
      <c r="F28" t="s">
        <v>221</v>
      </c>
      <c r="G28" t="s">
        <v>218</v>
      </c>
    </row>
    <row r="29" spans="1:7" x14ac:dyDescent="0.25">
      <c r="A29">
        <v>28</v>
      </c>
      <c r="B29" t="s">
        <v>216</v>
      </c>
      <c r="C29" t="s">
        <v>217</v>
      </c>
      <c r="D29" t="s">
        <v>217</v>
      </c>
      <c r="E29" t="s">
        <v>218</v>
      </c>
      <c r="F29" t="s">
        <v>221</v>
      </c>
      <c r="G29" t="s">
        <v>221</v>
      </c>
    </row>
    <row r="30" spans="1:7" x14ac:dyDescent="0.25">
      <c r="A30">
        <v>29</v>
      </c>
      <c r="B30" t="s">
        <v>216</v>
      </c>
      <c r="C30" t="s">
        <v>217</v>
      </c>
      <c r="D30" t="s">
        <v>219</v>
      </c>
      <c r="E30" t="s">
        <v>216</v>
      </c>
      <c r="F30" t="s">
        <v>216</v>
      </c>
      <c r="G30" t="s">
        <v>221</v>
      </c>
    </row>
    <row r="31" spans="1:7" x14ac:dyDescent="0.25">
      <c r="A31">
        <v>30</v>
      </c>
      <c r="B31" t="s">
        <v>218</v>
      </c>
      <c r="C31" t="s">
        <v>217</v>
      </c>
      <c r="D31" t="s">
        <v>217</v>
      </c>
      <c r="E31" t="s">
        <v>218</v>
      </c>
      <c r="F31" t="s">
        <v>221</v>
      </c>
      <c r="G31" t="s">
        <v>221</v>
      </c>
    </row>
    <row r="32" spans="1:7" x14ac:dyDescent="0.25">
      <c r="A32">
        <v>31</v>
      </c>
      <c r="B32" t="s">
        <v>219</v>
      </c>
      <c r="C32" t="s">
        <v>221</v>
      </c>
      <c r="D32" t="s">
        <v>221</v>
      </c>
      <c r="E32" t="s">
        <v>221</v>
      </c>
      <c r="F32" t="s">
        <v>216</v>
      </c>
      <c r="G32" t="s">
        <v>221</v>
      </c>
    </row>
    <row r="33" spans="1:7" x14ac:dyDescent="0.25">
      <c r="A33">
        <v>32</v>
      </c>
      <c r="B33" t="s">
        <v>216</v>
      </c>
      <c r="C33" t="s">
        <v>220</v>
      </c>
      <c r="D33" t="s">
        <v>216</v>
      </c>
      <c r="E33" t="s">
        <v>218</v>
      </c>
      <c r="F33" t="s">
        <v>221</v>
      </c>
      <c r="G33" t="s">
        <v>217</v>
      </c>
    </row>
    <row r="34" spans="1:7" x14ac:dyDescent="0.25">
      <c r="A34">
        <v>33</v>
      </c>
      <c r="B34" t="s">
        <v>220</v>
      </c>
      <c r="C34" t="s">
        <v>220</v>
      </c>
      <c r="D34" t="s">
        <v>216</v>
      </c>
      <c r="E34" t="s">
        <v>221</v>
      </c>
      <c r="F34" t="s">
        <v>221</v>
      </c>
      <c r="G34" t="s">
        <v>221</v>
      </c>
    </row>
    <row r="35" spans="1:7" x14ac:dyDescent="0.25">
      <c r="A35">
        <v>34</v>
      </c>
      <c r="B35" t="s">
        <v>219</v>
      </c>
      <c r="C35" t="s">
        <v>218</v>
      </c>
      <c r="D35" t="s">
        <v>216</v>
      </c>
      <c r="E35" t="s">
        <v>216</v>
      </c>
      <c r="F35" t="s">
        <v>217</v>
      </c>
      <c r="G35" t="s">
        <v>217</v>
      </c>
    </row>
    <row r="36" spans="1:7" x14ac:dyDescent="0.25">
      <c r="A36">
        <v>35</v>
      </c>
      <c r="B36" t="s">
        <v>216</v>
      </c>
      <c r="C36" t="s">
        <v>217</v>
      </c>
      <c r="D36" t="s">
        <v>216</v>
      </c>
      <c r="E36" t="s">
        <v>221</v>
      </c>
      <c r="F36" t="s">
        <v>220</v>
      </c>
      <c r="G36" t="s">
        <v>221</v>
      </c>
    </row>
    <row r="37" spans="1:7" x14ac:dyDescent="0.25">
      <c r="A37">
        <v>36</v>
      </c>
      <c r="B37" t="s">
        <v>216</v>
      </c>
      <c r="C37" t="s">
        <v>218</v>
      </c>
      <c r="D37" t="s">
        <v>220</v>
      </c>
      <c r="E37" t="s">
        <v>221</v>
      </c>
      <c r="F37" t="s">
        <v>216</v>
      </c>
      <c r="G37" t="s">
        <v>216</v>
      </c>
    </row>
    <row r="38" spans="1:7" x14ac:dyDescent="0.25">
      <c r="A38">
        <v>37</v>
      </c>
      <c r="B38" t="s">
        <v>218</v>
      </c>
      <c r="C38" t="s">
        <v>221</v>
      </c>
      <c r="D38" t="s">
        <v>218</v>
      </c>
      <c r="E38" t="s">
        <v>218</v>
      </c>
      <c r="F38" t="s">
        <v>221</v>
      </c>
      <c r="G38" t="s">
        <v>217</v>
      </c>
    </row>
    <row r="39" spans="1:7" x14ac:dyDescent="0.25">
      <c r="A39">
        <v>38</v>
      </c>
      <c r="B39" t="s">
        <v>221</v>
      </c>
      <c r="C39" t="s">
        <v>219</v>
      </c>
      <c r="D39" t="s">
        <v>220</v>
      </c>
      <c r="E39" t="s">
        <v>221</v>
      </c>
      <c r="F39" t="s">
        <v>221</v>
      </c>
      <c r="G39" t="s">
        <v>221</v>
      </c>
    </row>
    <row r="40" spans="1:7" x14ac:dyDescent="0.25">
      <c r="A40">
        <v>39</v>
      </c>
      <c r="B40" t="s">
        <v>219</v>
      </c>
      <c r="C40" t="s">
        <v>216</v>
      </c>
      <c r="D40" t="s">
        <v>221</v>
      </c>
      <c r="E40" t="s">
        <v>216</v>
      </c>
      <c r="F40" t="s">
        <v>218</v>
      </c>
      <c r="G40" t="s">
        <v>221</v>
      </c>
    </row>
    <row r="41" spans="1:7" x14ac:dyDescent="0.25">
      <c r="A41">
        <v>40</v>
      </c>
      <c r="B41" t="s">
        <v>221</v>
      </c>
      <c r="C41" t="s">
        <v>217</v>
      </c>
      <c r="D41" t="s">
        <v>216</v>
      </c>
      <c r="E41" t="s">
        <v>216</v>
      </c>
      <c r="F41" t="s">
        <v>221</v>
      </c>
      <c r="G41" t="s">
        <v>218</v>
      </c>
    </row>
    <row r="42" spans="1:7" x14ac:dyDescent="0.25">
      <c r="A42">
        <v>41</v>
      </c>
      <c r="B42" t="s">
        <v>216</v>
      </c>
      <c r="C42" t="s">
        <v>219</v>
      </c>
      <c r="D42" t="s">
        <v>219</v>
      </c>
      <c r="E42" t="s">
        <v>221</v>
      </c>
      <c r="F42" t="s">
        <v>221</v>
      </c>
      <c r="G42" t="s">
        <v>221</v>
      </c>
    </row>
    <row r="43" spans="1:7" x14ac:dyDescent="0.25">
      <c r="A43">
        <v>42</v>
      </c>
      <c r="B43" t="s">
        <v>216</v>
      </c>
      <c r="C43" t="s">
        <v>221</v>
      </c>
      <c r="D43" t="s">
        <v>217</v>
      </c>
      <c r="E43" t="s">
        <v>221</v>
      </c>
      <c r="F43" t="s">
        <v>221</v>
      </c>
      <c r="G43" t="s">
        <v>221</v>
      </c>
    </row>
    <row r="44" spans="1:7" x14ac:dyDescent="0.25">
      <c r="A44">
        <v>43</v>
      </c>
      <c r="B44" t="s">
        <v>216</v>
      </c>
      <c r="C44" t="s">
        <v>220</v>
      </c>
      <c r="D44" t="s">
        <v>221</v>
      </c>
      <c r="E44" t="s">
        <v>217</v>
      </c>
      <c r="F44" t="s">
        <v>217</v>
      </c>
      <c r="G44" t="s">
        <v>216</v>
      </c>
    </row>
    <row r="45" spans="1:7" x14ac:dyDescent="0.25">
      <c r="A45">
        <v>44</v>
      </c>
      <c r="B45" t="s">
        <v>218</v>
      </c>
      <c r="C45" t="s">
        <v>221</v>
      </c>
      <c r="D45" t="s">
        <v>217</v>
      </c>
      <c r="E45" t="s">
        <v>221</v>
      </c>
      <c r="F45" t="s">
        <v>221</v>
      </c>
      <c r="G45" t="s">
        <v>221</v>
      </c>
    </row>
    <row r="46" spans="1:7" x14ac:dyDescent="0.25">
      <c r="A46">
        <v>45</v>
      </c>
      <c r="B46" t="s">
        <v>217</v>
      </c>
      <c r="C46" t="s">
        <v>216</v>
      </c>
      <c r="D46" t="s">
        <v>216</v>
      </c>
      <c r="E46" t="s">
        <v>221</v>
      </c>
      <c r="F46" t="s">
        <v>221</v>
      </c>
      <c r="G46" t="s">
        <v>221</v>
      </c>
    </row>
    <row r="47" spans="1:7" x14ac:dyDescent="0.25">
      <c r="A47">
        <v>46</v>
      </c>
      <c r="B47" t="s">
        <v>218</v>
      </c>
      <c r="C47" t="s">
        <v>217</v>
      </c>
      <c r="D47" t="s">
        <v>218</v>
      </c>
      <c r="E47" t="s">
        <v>221</v>
      </c>
      <c r="F47" t="s">
        <v>219</v>
      </c>
      <c r="G47" t="s">
        <v>221</v>
      </c>
    </row>
    <row r="48" spans="1:7" x14ac:dyDescent="0.25">
      <c r="A48">
        <v>47</v>
      </c>
      <c r="B48" t="s">
        <v>216</v>
      </c>
      <c r="C48" t="s">
        <v>217</v>
      </c>
      <c r="D48" t="s">
        <v>219</v>
      </c>
      <c r="E48" t="s">
        <v>218</v>
      </c>
      <c r="F48" t="s">
        <v>221</v>
      </c>
      <c r="G48" t="s">
        <v>221</v>
      </c>
    </row>
    <row r="49" spans="1:7" x14ac:dyDescent="0.25">
      <c r="A49">
        <v>48</v>
      </c>
      <c r="B49" t="s">
        <v>216</v>
      </c>
      <c r="C49" t="s">
        <v>218</v>
      </c>
      <c r="D49" t="s">
        <v>218</v>
      </c>
      <c r="E49" t="s">
        <v>217</v>
      </c>
      <c r="F49" t="s">
        <v>221</v>
      </c>
      <c r="G49" t="s">
        <v>219</v>
      </c>
    </row>
    <row r="50" spans="1:7" x14ac:dyDescent="0.25">
      <c r="A50">
        <v>49</v>
      </c>
      <c r="B50" t="s">
        <v>219</v>
      </c>
      <c r="C50" t="s">
        <v>219</v>
      </c>
      <c r="D50" t="s">
        <v>218</v>
      </c>
      <c r="E50" t="s">
        <v>218</v>
      </c>
      <c r="F50" t="s">
        <v>221</v>
      </c>
      <c r="G50" t="s">
        <v>221</v>
      </c>
    </row>
    <row r="51" spans="1:7" x14ac:dyDescent="0.25">
      <c r="A51">
        <v>50</v>
      </c>
      <c r="B51" t="s">
        <v>216</v>
      </c>
      <c r="C51" t="s">
        <v>217</v>
      </c>
      <c r="D51" t="s">
        <v>219</v>
      </c>
      <c r="E51" t="s">
        <v>221</v>
      </c>
      <c r="F51" t="s">
        <v>220</v>
      </c>
      <c r="G51" t="s">
        <v>216</v>
      </c>
    </row>
    <row r="52" spans="1:7" x14ac:dyDescent="0.25">
      <c r="A52">
        <v>51</v>
      </c>
      <c r="B52" t="s">
        <v>219</v>
      </c>
      <c r="C52" t="s">
        <v>219</v>
      </c>
      <c r="D52" t="s">
        <v>219</v>
      </c>
      <c r="E52" t="s">
        <v>216</v>
      </c>
      <c r="F52" t="s">
        <v>221</v>
      </c>
      <c r="G52" t="s">
        <v>221</v>
      </c>
    </row>
    <row r="53" spans="1:7" x14ac:dyDescent="0.25">
      <c r="A53">
        <v>52</v>
      </c>
      <c r="B53" t="s">
        <v>217</v>
      </c>
      <c r="C53" t="s">
        <v>221</v>
      </c>
      <c r="D53" t="s">
        <v>221</v>
      </c>
      <c r="E53" t="s">
        <v>220</v>
      </c>
      <c r="F53" t="s">
        <v>221</v>
      </c>
      <c r="G53" t="s">
        <v>216</v>
      </c>
    </row>
    <row r="54" spans="1:7" x14ac:dyDescent="0.25">
      <c r="A54">
        <v>53</v>
      </c>
      <c r="B54" t="s">
        <v>217</v>
      </c>
      <c r="C54" t="s">
        <v>216</v>
      </c>
      <c r="D54" t="s">
        <v>218</v>
      </c>
      <c r="E54" t="s">
        <v>216</v>
      </c>
      <c r="F54" t="s">
        <v>220</v>
      </c>
      <c r="G54" t="s">
        <v>221</v>
      </c>
    </row>
    <row r="55" spans="1:7" x14ac:dyDescent="0.25">
      <c r="A55">
        <v>54</v>
      </c>
      <c r="B55" t="s">
        <v>216</v>
      </c>
      <c r="C55" t="s">
        <v>217</v>
      </c>
      <c r="D55" t="s">
        <v>221</v>
      </c>
      <c r="E55" t="s">
        <v>217</v>
      </c>
      <c r="F55" t="s">
        <v>221</v>
      </c>
      <c r="G55" t="s">
        <v>221</v>
      </c>
    </row>
    <row r="56" spans="1:7" x14ac:dyDescent="0.25">
      <c r="A56">
        <v>55</v>
      </c>
      <c r="B56" t="s">
        <v>220</v>
      </c>
      <c r="C56" t="s">
        <v>218</v>
      </c>
      <c r="D56" t="s">
        <v>217</v>
      </c>
      <c r="E56" t="s">
        <v>221</v>
      </c>
      <c r="F56" t="s">
        <v>221</v>
      </c>
      <c r="G56" t="s">
        <v>219</v>
      </c>
    </row>
    <row r="57" spans="1:7" x14ac:dyDescent="0.25">
      <c r="A57">
        <v>56</v>
      </c>
      <c r="B57" t="s">
        <v>216</v>
      </c>
      <c r="C57" t="s">
        <v>218</v>
      </c>
      <c r="D57" t="s">
        <v>221</v>
      </c>
      <c r="E57" t="s">
        <v>221</v>
      </c>
      <c r="F57" t="s">
        <v>219</v>
      </c>
      <c r="G57" t="s">
        <v>218</v>
      </c>
    </row>
    <row r="58" spans="1:7" x14ac:dyDescent="0.25">
      <c r="A58">
        <v>57</v>
      </c>
      <c r="B58" t="s">
        <v>218</v>
      </c>
      <c r="C58" t="s">
        <v>216</v>
      </c>
      <c r="D58" t="s">
        <v>216</v>
      </c>
      <c r="E58" t="s">
        <v>221</v>
      </c>
      <c r="F58" t="s">
        <v>221</v>
      </c>
      <c r="G58" t="s">
        <v>218</v>
      </c>
    </row>
    <row r="59" spans="1:7" x14ac:dyDescent="0.25">
      <c r="A59">
        <v>58</v>
      </c>
      <c r="B59" t="s">
        <v>220</v>
      </c>
      <c r="C59" t="s">
        <v>216</v>
      </c>
      <c r="D59" t="s">
        <v>217</v>
      </c>
      <c r="E59" t="s">
        <v>218</v>
      </c>
      <c r="F59" t="s">
        <v>220</v>
      </c>
      <c r="G59" t="s">
        <v>221</v>
      </c>
    </row>
    <row r="60" spans="1:7" x14ac:dyDescent="0.25">
      <c r="A60">
        <v>59</v>
      </c>
      <c r="B60" t="s">
        <v>216</v>
      </c>
      <c r="C60" t="s">
        <v>218</v>
      </c>
      <c r="D60" t="s">
        <v>216</v>
      </c>
      <c r="E60" t="s">
        <v>220</v>
      </c>
      <c r="F60" t="s">
        <v>221</v>
      </c>
      <c r="G60" t="s">
        <v>221</v>
      </c>
    </row>
    <row r="61" spans="1:7" x14ac:dyDescent="0.25">
      <c r="A61">
        <v>60</v>
      </c>
      <c r="B61" t="s">
        <v>217</v>
      </c>
      <c r="C61" t="s">
        <v>216</v>
      </c>
      <c r="D61" t="s">
        <v>220</v>
      </c>
      <c r="E61" t="s">
        <v>221</v>
      </c>
      <c r="F61" t="s">
        <v>217</v>
      </c>
      <c r="G61" t="s">
        <v>221</v>
      </c>
    </row>
    <row r="62" spans="1:7" x14ac:dyDescent="0.25">
      <c r="A62">
        <v>61</v>
      </c>
      <c r="B62" t="s">
        <v>218</v>
      </c>
      <c r="C62" t="s">
        <v>216</v>
      </c>
      <c r="D62" t="s">
        <v>219</v>
      </c>
      <c r="E62" t="s">
        <v>221</v>
      </c>
      <c r="F62" t="s">
        <v>218</v>
      </c>
      <c r="G62" t="s">
        <v>221</v>
      </c>
    </row>
    <row r="63" spans="1:7" x14ac:dyDescent="0.25">
      <c r="A63">
        <v>62</v>
      </c>
      <c r="B63" t="s">
        <v>216</v>
      </c>
      <c r="C63" t="s">
        <v>219</v>
      </c>
      <c r="D63" t="s">
        <v>219</v>
      </c>
      <c r="E63" t="s">
        <v>216</v>
      </c>
      <c r="F63" t="s">
        <v>217</v>
      </c>
      <c r="G63" t="s">
        <v>217</v>
      </c>
    </row>
    <row r="64" spans="1:7" x14ac:dyDescent="0.25">
      <c r="A64">
        <v>63</v>
      </c>
      <c r="B64" t="s">
        <v>217</v>
      </c>
      <c r="C64" t="s">
        <v>216</v>
      </c>
      <c r="D64" t="s">
        <v>216</v>
      </c>
      <c r="E64" t="s">
        <v>221</v>
      </c>
      <c r="F64" t="s">
        <v>219</v>
      </c>
      <c r="G64" t="s">
        <v>221</v>
      </c>
    </row>
    <row r="65" spans="1:7" x14ac:dyDescent="0.25">
      <c r="A65">
        <v>64</v>
      </c>
      <c r="B65" t="s">
        <v>216</v>
      </c>
      <c r="C65" t="s">
        <v>216</v>
      </c>
      <c r="D65" t="s">
        <v>221</v>
      </c>
      <c r="E65" t="s">
        <v>221</v>
      </c>
      <c r="F65" t="s">
        <v>219</v>
      </c>
      <c r="G65" t="s">
        <v>217</v>
      </c>
    </row>
    <row r="66" spans="1:7" x14ac:dyDescent="0.25">
      <c r="A66">
        <v>65</v>
      </c>
      <c r="B66" t="s">
        <v>216</v>
      </c>
      <c r="C66" t="s">
        <v>217</v>
      </c>
      <c r="D66" t="s">
        <v>221</v>
      </c>
      <c r="E66" t="s">
        <v>219</v>
      </c>
      <c r="F66" t="s">
        <v>218</v>
      </c>
      <c r="G66" t="s">
        <v>216</v>
      </c>
    </row>
    <row r="67" spans="1:7" x14ac:dyDescent="0.25">
      <c r="A67">
        <v>66</v>
      </c>
      <c r="B67" t="s">
        <v>217</v>
      </c>
      <c r="C67" t="s">
        <v>217</v>
      </c>
      <c r="D67" t="s">
        <v>217</v>
      </c>
      <c r="E67" t="s">
        <v>216</v>
      </c>
      <c r="F67" t="s">
        <v>218</v>
      </c>
      <c r="G67" t="s">
        <v>221</v>
      </c>
    </row>
    <row r="68" spans="1:7" x14ac:dyDescent="0.25">
      <c r="A68">
        <v>67</v>
      </c>
      <c r="B68" t="s">
        <v>221</v>
      </c>
      <c r="C68" t="s">
        <v>218</v>
      </c>
      <c r="D68" t="s">
        <v>219</v>
      </c>
      <c r="E68" t="s">
        <v>221</v>
      </c>
      <c r="F68" t="s">
        <v>217</v>
      </c>
      <c r="G68" t="s">
        <v>216</v>
      </c>
    </row>
    <row r="69" spans="1:7" x14ac:dyDescent="0.25">
      <c r="A69">
        <v>68</v>
      </c>
      <c r="B69" t="s">
        <v>218</v>
      </c>
      <c r="C69" t="s">
        <v>216</v>
      </c>
      <c r="D69" t="s">
        <v>216</v>
      </c>
      <c r="E69" t="s">
        <v>217</v>
      </c>
      <c r="F69" t="s">
        <v>221</v>
      </c>
      <c r="G69" t="s">
        <v>216</v>
      </c>
    </row>
    <row r="70" spans="1:7" x14ac:dyDescent="0.25">
      <c r="A70">
        <v>69</v>
      </c>
      <c r="B70" t="s">
        <v>217</v>
      </c>
      <c r="C70" t="s">
        <v>217</v>
      </c>
      <c r="D70" t="s">
        <v>217</v>
      </c>
      <c r="E70" t="s">
        <v>221</v>
      </c>
      <c r="F70" t="s">
        <v>219</v>
      </c>
      <c r="G70" t="s">
        <v>217</v>
      </c>
    </row>
    <row r="71" spans="1:7" x14ac:dyDescent="0.25">
      <c r="A71">
        <v>70</v>
      </c>
      <c r="B71" t="s">
        <v>216</v>
      </c>
      <c r="C71" t="s">
        <v>217</v>
      </c>
      <c r="D71" t="s">
        <v>218</v>
      </c>
      <c r="E71" t="s">
        <v>216</v>
      </c>
      <c r="F71" t="s">
        <v>216</v>
      </c>
      <c r="G71" t="s">
        <v>221</v>
      </c>
    </row>
    <row r="72" spans="1:7" x14ac:dyDescent="0.25">
      <c r="A72">
        <v>71</v>
      </c>
      <c r="B72" t="s">
        <v>216</v>
      </c>
      <c r="C72" t="s">
        <v>216</v>
      </c>
      <c r="D72" t="s">
        <v>217</v>
      </c>
      <c r="E72" t="s">
        <v>216</v>
      </c>
      <c r="F72" t="s">
        <v>221</v>
      </c>
      <c r="G72" t="s">
        <v>217</v>
      </c>
    </row>
    <row r="73" spans="1:7" x14ac:dyDescent="0.25">
      <c r="A73">
        <v>72</v>
      </c>
      <c r="B73" t="s">
        <v>216</v>
      </c>
      <c r="C73" t="s">
        <v>217</v>
      </c>
      <c r="D73" t="s">
        <v>221</v>
      </c>
      <c r="E73" t="s">
        <v>216</v>
      </c>
      <c r="F73" t="s">
        <v>221</v>
      </c>
      <c r="G73" t="s">
        <v>217</v>
      </c>
    </row>
    <row r="74" spans="1:7" x14ac:dyDescent="0.25">
      <c r="A74">
        <v>73</v>
      </c>
      <c r="B74" t="s">
        <v>217</v>
      </c>
      <c r="C74" t="s">
        <v>221</v>
      </c>
      <c r="D74" t="s">
        <v>221</v>
      </c>
      <c r="E74" t="s">
        <v>218</v>
      </c>
      <c r="F74" t="s">
        <v>221</v>
      </c>
      <c r="G74" t="s">
        <v>216</v>
      </c>
    </row>
    <row r="75" spans="1:7" x14ac:dyDescent="0.25">
      <c r="A75">
        <v>74</v>
      </c>
      <c r="B75" t="s">
        <v>219</v>
      </c>
      <c r="C75" t="s">
        <v>220</v>
      </c>
      <c r="D75" t="s">
        <v>221</v>
      </c>
      <c r="E75" t="s">
        <v>221</v>
      </c>
      <c r="F75" t="s">
        <v>221</v>
      </c>
      <c r="G75" t="s">
        <v>216</v>
      </c>
    </row>
    <row r="76" spans="1:7" x14ac:dyDescent="0.25">
      <c r="A76">
        <v>75</v>
      </c>
      <c r="B76" t="s">
        <v>218</v>
      </c>
      <c r="C76" t="s">
        <v>218</v>
      </c>
      <c r="D76" t="s">
        <v>221</v>
      </c>
      <c r="E76" t="s">
        <v>219</v>
      </c>
      <c r="F76" t="s">
        <v>216</v>
      </c>
      <c r="G76" t="s">
        <v>217</v>
      </c>
    </row>
    <row r="77" spans="1:7" x14ac:dyDescent="0.25">
      <c r="A77">
        <v>76</v>
      </c>
      <c r="B77" t="s">
        <v>216</v>
      </c>
      <c r="C77" t="s">
        <v>217</v>
      </c>
      <c r="D77" t="s">
        <v>221</v>
      </c>
      <c r="E77" t="s">
        <v>221</v>
      </c>
      <c r="F77" t="s">
        <v>218</v>
      </c>
      <c r="G77" t="s">
        <v>221</v>
      </c>
    </row>
    <row r="78" spans="1:7" x14ac:dyDescent="0.25">
      <c r="A78">
        <v>77</v>
      </c>
      <c r="B78" t="s">
        <v>219</v>
      </c>
      <c r="C78" t="s">
        <v>216</v>
      </c>
      <c r="D78" t="s">
        <v>216</v>
      </c>
      <c r="E78" t="s">
        <v>221</v>
      </c>
      <c r="F78" t="s">
        <v>218</v>
      </c>
      <c r="G78" t="s">
        <v>216</v>
      </c>
    </row>
    <row r="79" spans="1:7" x14ac:dyDescent="0.25">
      <c r="A79">
        <v>78</v>
      </c>
      <c r="B79" t="s">
        <v>218</v>
      </c>
      <c r="C79" t="s">
        <v>218</v>
      </c>
      <c r="D79" t="s">
        <v>216</v>
      </c>
      <c r="E79" t="s">
        <v>221</v>
      </c>
      <c r="F79" t="s">
        <v>220</v>
      </c>
      <c r="G79" t="s">
        <v>216</v>
      </c>
    </row>
    <row r="80" spans="1:7" x14ac:dyDescent="0.25">
      <c r="A80">
        <v>79</v>
      </c>
      <c r="B80" t="s">
        <v>220</v>
      </c>
      <c r="C80" t="s">
        <v>218</v>
      </c>
      <c r="D80" t="s">
        <v>219</v>
      </c>
      <c r="E80" t="s">
        <v>221</v>
      </c>
      <c r="F80" t="s">
        <v>219</v>
      </c>
      <c r="G80" t="s">
        <v>221</v>
      </c>
    </row>
    <row r="81" spans="1:7" x14ac:dyDescent="0.25">
      <c r="A81">
        <v>80</v>
      </c>
      <c r="B81" t="s">
        <v>217</v>
      </c>
      <c r="C81" t="s">
        <v>219</v>
      </c>
      <c r="D81" t="s">
        <v>219</v>
      </c>
      <c r="E81" t="s">
        <v>217</v>
      </c>
      <c r="F81" t="s">
        <v>217</v>
      </c>
      <c r="G81" t="s">
        <v>221</v>
      </c>
    </row>
    <row r="82" spans="1:7" x14ac:dyDescent="0.25">
      <c r="A82">
        <v>81</v>
      </c>
      <c r="B82" t="s">
        <v>219</v>
      </c>
      <c r="C82" t="s">
        <v>216</v>
      </c>
      <c r="D82" t="s">
        <v>220</v>
      </c>
      <c r="E82" t="s">
        <v>218</v>
      </c>
      <c r="F82" t="s">
        <v>216</v>
      </c>
      <c r="G82" t="s">
        <v>216</v>
      </c>
    </row>
    <row r="83" spans="1:7" x14ac:dyDescent="0.25">
      <c r="A83">
        <v>82</v>
      </c>
      <c r="B83" t="s">
        <v>219</v>
      </c>
      <c r="C83" t="s">
        <v>217</v>
      </c>
      <c r="D83" t="s">
        <v>217</v>
      </c>
      <c r="E83" t="s">
        <v>221</v>
      </c>
      <c r="F83" t="s">
        <v>219</v>
      </c>
      <c r="G83" t="s">
        <v>221</v>
      </c>
    </row>
    <row r="84" spans="1:7" x14ac:dyDescent="0.25">
      <c r="A84">
        <v>83</v>
      </c>
      <c r="B84" t="s">
        <v>218</v>
      </c>
      <c r="C84" t="s">
        <v>216</v>
      </c>
      <c r="D84" t="s">
        <v>216</v>
      </c>
      <c r="E84" t="s">
        <v>220</v>
      </c>
      <c r="F84" t="s">
        <v>221</v>
      </c>
      <c r="G84" t="s">
        <v>221</v>
      </c>
    </row>
    <row r="85" spans="1:7" x14ac:dyDescent="0.25">
      <c r="A85">
        <v>84</v>
      </c>
      <c r="B85" t="s">
        <v>217</v>
      </c>
      <c r="C85" t="s">
        <v>220</v>
      </c>
      <c r="D85" t="s">
        <v>216</v>
      </c>
      <c r="E85" t="s">
        <v>216</v>
      </c>
      <c r="F85" t="s">
        <v>217</v>
      </c>
      <c r="G85" t="s">
        <v>217</v>
      </c>
    </row>
    <row r="86" spans="1:7" x14ac:dyDescent="0.25">
      <c r="A86">
        <v>85</v>
      </c>
      <c r="B86" t="s">
        <v>216</v>
      </c>
      <c r="C86" t="s">
        <v>218</v>
      </c>
      <c r="D86" t="s">
        <v>220</v>
      </c>
      <c r="E86" t="s">
        <v>217</v>
      </c>
      <c r="F86" t="s">
        <v>216</v>
      </c>
      <c r="G86" t="s">
        <v>216</v>
      </c>
    </row>
    <row r="87" spans="1:7" x14ac:dyDescent="0.25">
      <c r="A87">
        <v>86</v>
      </c>
      <c r="B87" t="s">
        <v>217</v>
      </c>
      <c r="C87" t="s">
        <v>216</v>
      </c>
      <c r="D87" t="s">
        <v>217</v>
      </c>
      <c r="E87" t="s">
        <v>216</v>
      </c>
      <c r="F87" t="s">
        <v>221</v>
      </c>
      <c r="G87" t="s">
        <v>221</v>
      </c>
    </row>
    <row r="88" spans="1:7" x14ac:dyDescent="0.25">
      <c r="A88">
        <v>87</v>
      </c>
      <c r="B88" t="s">
        <v>216</v>
      </c>
      <c r="C88" t="s">
        <v>219</v>
      </c>
      <c r="D88" t="s">
        <v>216</v>
      </c>
      <c r="E88" t="s">
        <v>221</v>
      </c>
      <c r="F88" t="s">
        <v>221</v>
      </c>
      <c r="G88" t="s">
        <v>217</v>
      </c>
    </row>
    <row r="89" spans="1:7" x14ac:dyDescent="0.25">
      <c r="A89">
        <v>88</v>
      </c>
      <c r="B89" t="s">
        <v>216</v>
      </c>
      <c r="C89" t="s">
        <v>216</v>
      </c>
      <c r="D89" t="s">
        <v>221</v>
      </c>
      <c r="E89" t="s">
        <v>220</v>
      </c>
      <c r="F89" t="s">
        <v>221</v>
      </c>
      <c r="G89" t="s">
        <v>221</v>
      </c>
    </row>
    <row r="90" spans="1:7" x14ac:dyDescent="0.25">
      <c r="A90">
        <v>89</v>
      </c>
      <c r="B90" t="s">
        <v>220</v>
      </c>
      <c r="C90" t="s">
        <v>219</v>
      </c>
      <c r="D90" t="s">
        <v>221</v>
      </c>
      <c r="E90" t="s">
        <v>221</v>
      </c>
      <c r="F90" t="s">
        <v>221</v>
      </c>
      <c r="G90" t="s">
        <v>217</v>
      </c>
    </row>
    <row r="91" spans="1:7" x14ac:dyDescent="0.25">
      <c r="A91">
        <v>90</v>
      </c>
      <c r="B91" t="s">
        <v>216</v>
      </c>
      <c r="C91" t="s">
        <v>217</v>
      </c>
      <c r="D91" t="s">
        <v>216</v>
      </c>
      <c r="E91" t="s">
        <v>216</v>
      </c>
      <c r="F91" t="s">
        <v>217</v>
      </c>
      <c r="G91" t="s">
        <v>221</v>
      </c>
    </row>
    <row r="92" spans="1:7" x14ac:dyDescent="0.25">
      <c r="A92">
        <v>91</v>
      </c>
      <c r="B92" t="s">
        <v>217</v>
      </c>
      <c r="C92" t="s">
        <v>216</v>
      </c>
      <c r="D92" t="s">
        <v>216</v>
      </c>
      <c r="E92" t="s">
        <v>219</v>
      </c>
      <c r="F92" t="s">
        <v>218</v>
      </c>
      <c r="G92" t="s">
        <v>219</v>
      </c>
    </row>
    <row r="93" spans="1:7" x14ac:dyDescent="0.25">
      <c r="A93">
        <v>92</v>
      </c>
      <c r="B93" t="s">
        <v>216</v>
      </c>
      <c r="C93" t="s">
        <v>217</v>
      </c>
      <c r="D93" t="s">
        <v>221</v>
      </c>
      <c r="E93" t="s">
        <v>216</v>
      </c>
      <c r="F93" t="s">
        <v>219</v>
      </c>
      <c r="G93" t="s">
        <v>221</v>
      </c>
    </row>
    <row r="94" spans="1:7" x14ac:dyDescent="0.25">
      <c r="A94">
        <v>93</v>
      </c>
      <c r="B94" t="s">
        <v>220</v>
      </c>
      <c r="C94" t="s">
        <v>216</v>
      </c>
      <c r="D94" t="s">
        <v>217</v>
      </c>
      <c r="E94" t="s">
        <v>219</v>
      </c>
      <c r="F94" t="s">
        <v>218</v>
      </c>
      <c r="G94" t="s">
        <v>221</v>
      </c>
    </row>
    <row r="95" spans="1:7" x14ac:dyDescent="0.25">
      <c r="A95">
        <v>94</v>
      </c>
      <c r="B95" t="s">
        <v>217</v>
      </c>
      <c r="C95" t="s">
        <v>220</v>
      </c>
      <c r="D95" t="s">
        <v>216</v>
      </c>
      <c r="E95" t="s">
        <v>216</v>
      </c>
      <c r="F95" t="s">
        <v>217</v>
      </c>
      <c r="G95" t="s">
        <v>221</v>
      </c>
    </row>
    <row r="96" spans="1:7" x14ac:dyDescent="0.25">
      <c r="A96">
        <v>95</v>
      </c>
      <c r="B96" t="s">
        <v>216</v>
      </c>
      <c r="C96" t="s">
        <v>221</v>
      </c>
      <c r="D96" t="s">
        <v>221</v>
      </c>
      <c r="E96" t="s">
        <v>220</v>
      </c>
      <c r="F96" t="s">
        <v>221</v>
      </c>
      <c r="G96" t="s">
        <v>217</v>
      </c>
    </row>
    <row r="97" spans="1:7" x14ac:dyDescent="0.25">
      <c r="A97">
        <v>96</v>
      </c>
      <c r="B97" t="s">
        <v>218</v>
      </c>
      <c r="C97" t="s">
        <v>216</v>
      </c>
      <c r="D97" t="s">
        <v>221</v>
      </c>
      <c r="E97" t="s">
        <v>216</v>
      </c>
      <c r="F97" t="s">
        <v>219</v>
      </c>
      <c r="G97" t="s">
        <v>221</v>
      </c>
    </row>
    <row r="98" spans="1:7" x14ac:dyDescent="0.25">
      <c r="A98">
        <v>97</v>
      </c>
      <c r="B98" t="s">
        <v>216</v>
      </c>
      <c r="C98" t="s">
        <v>216</v>
      </c>
      <c r="D98" t="s">
        <v>217</v>
      </c>
      <c r="E98" t="s">
        <v>216</v>
      </c>
      <c r="F98" t="s">
        <v>221</v>
      </c>
      <c r="G98" t="s">
        <v>221</v>
      </c>
    </row>
    <row r="99" spans="1:7" x14ac:dyDescent="0.25">
      <c r="A99">
        <v>98</v>
      </c>
      <c r="B99" t="s">
        <v>217</v>
      </c>
      <c r="C99" t="s">
        <v>219</v>
      </c>
      <c r="D99" t="s">
        <v>221</v>
      </c>
      <c r="E99" t="s">
        <v>216</v>
      </c>
      <c r="F99" t="s">
        <v>221</v>
      </c>
      <c r="G99" t="s">
        <v>221</v>
      </c>
    </row>
    <row r="100" spans="1:7" x14ac:dyDescent="0.25">
      <c r="A100">
        <v>99</v>
      </c>
      <c r="B100" t="s">
        <v>218</v>
      </c>
      <c r="C100" t="s">
        <v>221</v>
      </c>
      <c r="D100" t="s">
        <v>216</v>
      </c>
      <c r="E100" t="s">
        <v>217</v>
      </c>
      <c r="F100" t="s">
        <v>221</v>
      </c>
      <c r="G100" t="s">
        <v>216</v>
      </c>
    </row>
    <row r="101" spans="1:7" x14ac:dyDescent="0.25">
      <c r="A101">
        <v>100</v>
      </c>
      <c r="B101" t="s">
        <v>216</v>
      </c>
      <c r="C101" t="s">
        <v>216</v>
      </c>
      <c r="D101" t="s">
        <v>220</v>
      </c>
      <c r="E101" t="s">
        <v>221</v>
      </c>
      <c r="F101" t="s">
        <v>221</v>
      </c>
      <c r="G101" t="s">
        <v>221</v>
      </c>
    </row>
    <row r="102" spans="1:7" x14ac:dyDescent="0.25">
      <c r="A102">
        <v>101</v>
      </c>
      <c r="B102" t="s">
        <v>216</v>
      </c>
      <c r="C102" t="s">
        <v>217</v>
      </c>
      <c r="D102" t="s">
        <v>218</v>
      </c>
      <c r="E102" t="s">
        <v>221</v>
      </c>
      <c r="F102" t="s">
        <v>221</v>
      </c>
      <c r="G102" t="s">
        <v>216</v>
      </c>
    </row>
    <row r="103" spans="1:7" x14ac:dyDescent="0.25">
      <c r="A103">
        <v>102</v>
      </c>
      <c r="B103" t="s">
        <v>217</v>
      </c>
      <c r="C103" t="s">
        <v>216</v>
      </c>
      <c r="D103" t="s">
        <v>219</v>
      </c>
      <c r="E103" t="s">
        <v>216</v>
      </c>
      <c r="F103" t="s">
        <v>217</v>
      </c>
      <c r="G103" t="s">
        <v>221</v>
      </c>
    </row>
    <row r="104" spans="1:7" x14ac:dyDescent="0.25">
      <c r="A104">
        <v>103</v>
      </c>
      <c r="B104" t="s">
        <v>216</v>
      </c>
      <c r="C104" t="s">
        <v>220</v>
      </c>
      <c r="D104" t="s">
        <v>216</v>
      </c>
      <c r="E104" t="s">
        <v>216</v>
      </c>
      <c r="F104" t="s">
        <v>221</v>
      </c>
      <c r="G104" t="s">
        <v>221</v>
      </c>
    </row>
    <row r="105" spans="1:7" x14ac:dyDescent="0.25">
      <c r="A105">
        <v>104</v>
      </c>
      <c r="B105" t="s">
        <v>221</v>
      </c>
      <c r="C105" t="s">
        <v>219</v>
      </c>
      <c r="D105" t="s">
        <v>216</v>
      </c>
      <c r="E105" t="s">
        <v>217</v>
      </c>
      <c r="F105" t="s">
        <v>221</v>
      </c>
      <c r="G105" t="s">
        <v>217</v>
      </c>
    </row>
    <row r="106" spans="1:7" x14ac:dyDescent="0.25">
      <c r="A106">
        <v>105</v>
      </c>
      <c r="B106" t="s">
        <v>216</v>
      </c>
      <c r="C106" t="s">
        <v>216</v>
      </c>
      <c r="D106" t="s">
        <v>221</v>
      </c>
      <c r="E106" t="s">
        <v>221</v>
      </c>
      <c r="F106" t="s">
        <v>216</v>
      </c>
      <c r="G106" t="s">
        <v>221</v>
      </c>
    </row>
    <row r="107" spans="1:7" x14ac:dyDescent="0.25">
      <c r="A107">
        <v>106</v>
      </c>
      <c r="B107" t="s">
        <v>217</v>
      </c>
      <c r="C107" t="s">
        <v>217</v>
      </c>
      <c r="D107" t="s">
        <v>216</v>
      </c>
      <c r="E107" t="s">
        <v>218</v>
      </c>
      <c r="F107" t="s">
        <v>216</v>
      </c>
      <c r="G107" t="s">
        <v>221</v>
      </c>
    </row>
    <row r="108" spans="1:7" x14ac:dyDescent="0.25">
      <c r="A108">
        <v>107</v>
      </c>
      <c r="B108" t="s">
        <v>216</v>
      </c>
      <c r="C108" t="s">
        <v>220</v>
      </c>
      <c r="D108" t="s">
        <v>217</v>
      </c>
      <c r="E108" t="s">
        <v>216</v>
      </c>
      <c r="F108" t="s">
        <v>221</v>
      </c>
      <c r="G108" t="s">
        <v>218</v>
      </c>
    </row>
    <row r="109" spans="1:7" x14ac:dyDescent="0.25">
      <c r="A109">
        <v>108</v>
      </c>
      <c r="B109" t="s">
        <v>218</v>
      </c>
      <c r="C109" t="s">
        <v>219</v>
      </c>
      <c r="D109" t="s">
        <v>217</v>
      </c>
      <c r="E109" t="s">
        <v>221</v>
      </c>
      <c r="F109" t="s">
        <v>221</v>
      </c>
      <c r="G109" t="s">
        <v>221</v>
      </c>
    </row>
    <row r="110" spans="1:7" x14ac:dyDescent="0.25">
      <c r="A110">
        <v>109</v>
      </c>
      <c r="B110" t="s">
        <v>217</v>
      </c>
      <c r="C110" t="s">
        <v>216</v>
      </c>
      <c r="D110" t="s">
        <v>217</v>
      </c>
      <c r="E110" t="s">
        <v>217</v>
      </c>
      <c r="F110" t="s">
        <v>221</v>
      </c>
      <c r="G110" t="s">
        <v>217</v>
      </c>
    </row>
    <row r="111" spans="1:7" x14ac:dyDescent="0.25">
      <c r="A111">
        <v>110</v>
      </c>
      <c r="B111" t="s">
        <v>218</v>
      </c>
      <c r="C111" t="s">
        <v>219</v>
      </c>
      <c r="D111" t="s">
        <v>219</v>
      </c>
      <c r="E111" t="s">
        <v>221</v>
      </c>
      <c r="F111" t="s">
        <v>218</v>
      </c>
      <c r="G111" t="s">
        <v>221</v>
      </c>
    </row>
    <row r="112" spans="1:7" x14ac:dyDescent="0.25">
      <c r="A112">
        <v>111</v>
      </c>
      <c r="B112" t="s">
        <v>216</v>
      </c>
      <c r="C112" t="s">
        <v>217</v>
      </c>
      <c r="D112" t="s">
        <v>216</v>
      </c>
      <c r="E112" t="s">
        <v>216</v>
      </c>
      <c r="F112" t="s">
        <v>221</v>
      </c>
      <c r="G112" t="s">
        <v>221</v>
      </c>
    </row>
    <row r="113" spans="1:7" x14ac:dyDescent="0.25">
      <c r="A113">
        <v>112</v>
      </c>
      <c r="B113" t="s">
        <v>217</v>
      </c>
      <c r="C113" t="s">
        <v>217</v>
      </c>
      <c r="D113" t="s">
        <v>217</v>
      </c>
      <c r="E113" t="s">
        <v>216</v>
      </c>
      <c r="F113" t="s">
        <v>221</v>
      </c>
      <c r="G113" t="s">
        <v>220</v>
      </c>
    </row>
    <row r="114" spans="1:7" x14ac:dyDescent="0.25">
      <c r="A114">
        <v>113</v>
      </c>
      <c r="B114" t="s">
        <v>217</v>
      </c>
      <c r="C114" t="s">
        <v>216</v>
      </c>
      <c r="D114" t="s">
        <v>217</v>
      </c>
      <c r="E114" t="s">
        <v>216</v>
      </c>
      <c r="F114" t="s">
        <v>217</v>
      </c>
      <c r="G114" t="s">
        <v>219</v>
      </c>
    </row>
    <row r="115" spans="1:7" x14ac:dyDescent="0.25">
      <c r="A115">
        <v>114</v>
      </c>
      <c r="B115" t="s">
        <v>217</v>
      </c>
      <c r="C115" t="s">
        <v>216</v>
      </c>
      <c r="D115" t="s">
        <v>217</v>
      </c>
      <c r="E115" t="s">
        <v>216</v>
      </c>
      <c r="F115" t="s">
        <v>217</v>
      </c>
      <c r="G115" t="s">
        <v>218</v>
      </c>
    </row>
    <row r="116" spans="1:7" x14ac:dyDescent="0.25">
      <c r="A116">
        <v>115</v>
      </c>
      <c r="B116" t="s">
        <v>219</v>
      </c>
      <c r="C116" t="s">
        <v>216</v>
      </c>
      <c r="D116" t="s">
        <v>221</v>
      </c>
      <c r="E116" t="s">
        <v>216</v>
      </c>
      <c r="F116" t="s">
        <v>221</v>
      </c>
      <c r="G116" t="s">
        <v>218</v>
      </c>
    </row>
    <row r="117" spans="1:7" x14ac:dyDescent="0.25">
      <c r="A117">
        <v>116</v>
      </c>
      <c r="B117" t="s">
        <v>217</v>
      </c>
      <c r="C117" t="s">
        <v>218</v>
      </c>
      <c r="D117" t="s">
        <v>216</v>
      </c>
      <c r="E117" t="s">
        <v>219</v>
      </c>
      <c r="F117" t="s">
        <v>217</v>
      </c>
      <c r="G117" t="s">
        <v>218</v>
      </c>
    </row>
    <row r="118" spans="1:7" x14ac:dyDescent="0.25">
      <c r="A118">
        <v>117</v>
      </c>
      <c r="B118" t="s">
        <v>219</v>
      </c>
      <c r="C118" t="s">
        <v>216</v>
      </c>
      <c r="D118" t="s">
        <v>216</v>
      </c>
      <c r="E118" t="s">
        <v>216</v>
      </c>
      <c r="F118" t="s">
        <v>221</v>
      </c>
      <c r="G118" t="s">
        <v>220</v>
      </c>
    </row>
    <row r="119" spans="1:7" x14ac:dyDescent="0.25">
      <c r="A119">
        <v>118</v>
      </c>
      <c r="B119" t="s">
        <v>219</v>
      </c>
      <c r="C119" t="s">
        <v>216</v>
      </c>
      <c r="D119" t="s">
        <v>219</v>
      </c>
      <c r="E119" t="s">
        <v>216</v>
      </c>
      <c r="F119" t="s">
        <v>221</v>
      </c>
      <c r="G119" t="s">
        <v>217</v>
      </c>
    </row>
    <row r="120" spans="1:7" x14ac:dyDescent="0.25">
      <c r="A120">
        <v>119</v>
      </c>
      <c r="B120" t="s">
        <v>220</v>
      </c>
      <c r="C120" t="s">
        <v>220</v>
      </c>
      <c r="D120" t="s">
        <v>217</v>
      </c>
      <c r="E120" t="s">
        <v>218</v>
      </c>
      <c r="F120" t="s">
        <v>217</v>
      </c>
      <c r="G120" t="s">
        <v>221</v>
      </c>
    </row>
    <row r="121" spans="1:7" x14ac:dyDescent="0.25">
      <c r="A121">
        <v>120</v>
      </c>
      <c r="B121" t="s">
        <v>217</v>
      </c>
      <c r="C121" t="s">
        <v>217</v>
      </c>
      <c r="D121" t="s">
        <v>217</v>
      </c>
      <c r="E121" t="s">
        <v>217</v>
      </c>
      <c r="F121" t="s">
        <v>220</v>
      </c>
      <c r="G121" t="s">
        <v>221</v>
      </c>
    </row>
    <row r="122" spans="1:7" x14ac:dyDescent="0.25">
      <c r="A122">
        <v>121</v>
      </c>
      <c r="B122" t="s">
        <v>219</v>
      </c>
      <c r="C122" t="s">
        <v>221</v>
      </c>
      <c r="D122" t="s">
        <v>217</v>
      </c>
      <c r="E122" t="s">
        <v>216</v>
      </c>
      <c r="F122" t="s">
        <v>221</v>
      </c>
      <c r="G122" t="s">
        <v>221</v>
      </c>
    </row>
    <row r="123" spans="1:7" x14ac:dyDescent="0.25">
      <c r="A123">
        <v>122</v>
      </c>
      <c r="B123" t="s">
        <v>220</v>
      </c>
      <c r="C123" t="s">
        <v>217</v>
      </c>
      <c r="D123" t="s">
        <v>217</v>
      </c>
      <c r="E123" t="s">
        <v>216</v>
      </c>
      <c r="F123" t="s">
        <v>221</v>
      </c>
      <c r="G123" t="s">
        <v>217</v>
      </c>
    </row>
    <row r="124" spans="1:7" x14ac:dyDescent="0.25">
      <c r="A124">
        <v>123</v>
      </c>
      <c r="B124" t="s">
        <v>216</v>
      </c>
      <c r="C124" t="s">
        <v>216</v>
      </c>
      <c r="D124" t="s">
        <v>216</v>
      </c>
      <c r="E124" t="s">
        <v>216</v>
      </c>
      <c r="F124" t="s">
        <v>216</v>
      </c>
      <c r="G124" t="s">
        <v>221</v>
      </c>
    </row>
    <row r="125" spans="1:7" x14ac:dyDescent="0.25">
      <c r="A125">
        <v>124</v>
      </c>
      <c r="B125" t="s">
        <v>217</v>
      </c>
      <c r="C125" t="s">
        <v>218</v>
      </c>
      <c r="D125" t="s">
        <v>221</v>
      </c>
      <c r="E125" t="s">
        <v>221</v>
      </c>
      <c r="F125" t="s">
        <v>216</v>
      </c>
      <c r="G125" t="s">
        <v>221</v>
      </c>
    </row>
    <row r="126" spans="1:7" x14ac:dyDescent="0.25">
      <c r="A126">
        <v>125</v>
      </c>
      <c r="B126" t="s">
        <v>217</v>
      </c>
      <c r="C126" t="s">
        <v>216</v>
      </c>
      <c r="D126" t="s">
        <v>218</v>
      </c>
      <c r="E126" t="s">
        <v>216</v>
      </c>
      <c r="F126" t="s">
        <v>221</v>
      </c>
      <c r="G126" t="s">
        <v>217</v>
      </c>
    </row>
    <row r="127" spans="1:7" x14ac:dyDescent="0.25">
      <c r="A127">
        <v>126</v>
      </c>
      <c r="B127" t="s">
        <v>219</v>
      </c>
      <c r="C127" t="s">
        <v>217</v>
      </c>
      <c r="D127" t="s">
        <v>218</v>
      </c>
      <c r="E127" t="s">
        <v>217</v>
      </c>
      <c r="F127" t="s">
        <v>216</v>
      </c>
      <c r="G127" t="s">
        <v>220</v>
      </c>
    </row>
    <row r="128" spans="1:7" x14ac:dyDescent="0.25">
      <c r="A128">
        <v>127</v>
      </c>
      <c r="B128" t="s">
        <v>216</v>
      </c>
      <c r="C128" t="s">
        <v>216</v>
      </c>
      <c r="D128" t="s">
        <v>219</v>
      </c>
      <c r="E128" t="s">
        <v>217</v>
      </c>
      <c r="F128" t="s">
        <v>218</v>
      </c>
      <c r="G128" t="s">
        <v>216</v>
      </c>
    </row>
    <row r="129" spans="1:7" x14ac:dyDescent="0.25">
      <c r="A129">
        <v>128</v>
      </c>
      <c r="B129" t="s">
        <v>216</v>
      </c>
      <c r="C129" t="s">
        <v>217</v>
      </c>
      <c r="D129" t="s">
        <v>219</v>
      </c>
      <c r="E129" t="s">
        <v>221</v>
      </c>
      <c r="F129" t="s">
        <v>219</v>
      </c>
      <c r="G129" t="s">
        <v>216</v>
      </c>
    </row>
    <row r="130" spans="1:7" x14ac:dyDescent="0.25">
      <c r="A130">
        <v>129</v>
      </c>
      <c r="B130" t="s">
        <v>217</v>
      </c>
      <c r="C130" t="s">
        <v>219</v>
      </c>
      <c r="D130" t="s">
        <v>216</v>
      </c>
      <c r="E130" t="s">
        <v>219</v>
      </c>
      <c r="F130" t="s">
        <v>216</v>
      </c>
      <c r="G130" t="s">
        <v>220</v>
      </c>
    </row>
    <row r="131" spans="1:7" x14ac:dyDescent="0.25">
      <c r="A131">
        <v>130</v>
      </c>
      <c r="B131" t="s">
        <v>216</v>
      </c>
      <c r="C131" t="s">
        <v>218</v>
      </c>
      <c r="D131" t="s">
        <v>221</v>
      </c>
      <c r="E131" t="s">
        <v>216</v>
      </c>
      <c r="F131" t="s">
        <v>221</v>
      </c>
      <c r="G131" t="s">
        <v>217</v>
      </c>
    </row>
    <row r="132" spans="1:7" x14ac:dyDescent="0.25">
      <c r="A132">
        <v>131</v>
      </c>
      <c r="B132" t="s">
        <v>218</v>
      </c>
      <c r="C132" t="s">
        <v>216</v>
      </c>
      <c r="D132" t="s">
        <v>221</v>
      </c>
      <c r="E132" t="s">
        <v>217</v>
      </c>
      <c r="F132" t="s">
        <v>216</v>
      </c>
      <c r="G132" t="s">
        <v>218</v>
      </c>
    </row>
    <row r="133" spans="1:7" x14ac:dyDescent="0.25">
      <c r="A133">
        <v>132</v>
      </c>
      <c r="B133" t="s">
        <v>220</v>
      </c>
      <c r="C133" t="s">
        <v>219</v>
      </c>
      <c r="D133" t="s">
        <v>219</v>
      </c>
      <c r="E133" t="s">
        <v>216</v>
      </c>
      <c r="F133" t="s">
        <v>218</v>
      </c>
      <c r="G133" t="s">
        <v>221</v>
      </c>
    </row>
    <row r="134" spans="1:7" x14ac:dyDescent="0.25">
      <c r="A134">
        <v>133</v>
      </c>
      <c r="B134" t="s">
        <v>216</v>
      </c>
      <c r="C134" t="s">
        <v>221</v>
      </c>
      <c r="D134" t="s">
        <v>216</v>
      </c>
      <c r="E134" t="s">
        <v>221</v>
      </c>
      <c r="F134" t="s">
        <v>221</v>
      </c>
      <c r="G134" t="s">
        <v>221</v>
      </c>
    </row>
    <row r="135" spans="1:7" x14ac:dyDescent="0.25">
      <c r="A135">
        <v>134</v>
      </c>
      <c r="B135" t="s">
        <v>217</v>
      </c>
      <c r="C135" t="s">
        <v>216</v>
      </c>
      <c r="D135" t="s">
        <v>217</v>
      </c>
      <c r="E135" t="s">
        <v>221</v>
      </c>
      <c r="F135" t="s">
        <v>221</v>
      </c>
      <c r="G135" t="s">
        <v>221</v>
      </c>
    </row>
    <row r="136" spans="1:7" x14ac:dyDescent="0.25">
      <c r="A136">
        <v>135</v>
      </c>
      <c r="B136" t="s">
        <v>216</v>
      </c>
      <c r="C136" t="s">
        <v>218</v>
      </c>
      <c r="D136" t="s">
        <v>221</v>
      </c>
      <c r="E136" t="s">
        <v>218</v>
      </c>
      <c r="F136" t="s">
        <v>216</v>
      </c>
      <c r="G136" t="s">
        <v>221</v>
      </c>
    </row>
    <row r="137" spans="1:7" x14ac:dyDescent="0.25">
      <c r="A137">
        <v>136</v>
      </c>
      <c r="B137" t="s">
        <v>216</v>
      </c>
      <c r="C137" t="s">
        <v>219</v>
      </c>
      <c r="D137" t="s">
        <v>217</v>
      </c>
      <c r="E137" t="s">
        <v>220</v>
      </c>
      <c r="F137" t="s">
        <v>221</v>
      </c>
      <c r="G137" t="s">
        <v>217</v>
      </c>
    </row>
    <row r="138" spans="1:7" x14ac:dyDescent="0.25">
      <c r="A138">
        <v>137</v>
      </c>
      <c r="B138" t="s">
        <v>216</v>
      </c>
      <c r="C138" t="s">
        <v>216</v>
      </c>
      <c r="D138" t="s">
        <v>216</v>
      </c>
      <c r="E138" t="s">
        <v>216</v>
      </c>
      <c r="F138" t="s">
        <v>216</v>
      </c>
      <c r="G138" t="s">
        <v>221</v>
      </c>
    </row>
    <row r="139" spans="1:7" x14ac:dyDescent="0.25">
      <c r="A139">
        <v>138</v>
      </c>
      <c r="B139" t="s">
        <v>217</v>
      </c>
      <c r="C139" t="s">
        <v>221</v>
      </c>
      <c r="D139" t="s">
        <v>216</v>
      </c>
      <c r="E139" t="s">
        <v>221</v>
      </c>
      <c r="F139" t="s">
        <v>219</v>
      </c>
      <c r="G139" t="s">
        <v>219</v>
      </c>
    </row>
    <row r="140" spans="1:7" x14ac:dyDescent="0.25">
      <c r="A140">
        <v>139</v>
      </c>
      <c r="B140" t="s">
        <v>216</v>
      </c>
      <c r="C140" t="s">
        <v>219</v>
      </c>
      <c r="D140" t="s">
        <v>217</v>
      </c>
      <c r="E140" t="s">
        <v>221</v>
      </c>
      <c r="F140" t="s">
        <v>221</v>
      </c>
      <c r="G140" t="s">
        <v>221</v>
      </c>
    </row>
    <row r="141" spans="1:7" x14ac:dyDescent="0.25">
      <c r="A141">
        <v>140</v>
      </c>
      <c r="B141" t="s">
        <v>216</v>
      </c>
      <c r="C141" t="s">
        <v>219</v>
      </c>
      <c r="D141" t="s">
        <v>217</v>
      </c>
      <c r="E141" t="s">
        <v>216</v>
      </c>
      <c r="F141" t="s">
        <v>217</v>
      </c>
      <c r="G141" t="s">
        <v>216</v>
      </c>
    </row>
    <row r="142" spans="1:7" x14ac:dyDescent="0.25">
      <c r="A142">
        <v>141</v>
      </c>
      <c r="B142" t="s">
        <v>216</v>
      </c>
      <c r="C142" t="s">
        <v>217</v>
      </c>
      <c r="D142" t="s">
        <v>221</v>
      </c>
      <c r="E142" t="s">
        <v>218</v>
      </c>
      <c r="F142" t="s">
        <v>221</v>
      </c>
      <c r="G142" t="s">
        <v>216</v>
      </c>
    </row>
    <row r="143" spans="1:7" x14ac:dyDescent="0.25">
      <c r="A143">
        <v>142</v>
      </c>
      <c r="B143" t="s">
        <v>218</v>
      </c>
      <c r="C143" t="s">
        <v>218</v>
      </c>
      <c r="D143" t="s">
        <v>221</v>
      </c>
      <c r="E143" t="s">
        <v>217</v>
      </c>
      <c r="F143" t="s">
        <v>216</v>
      </c>
      <c r="G143" t="s">
        <v>216</v>
      </c>
    </row>
    <row r="144" spans="1:7" x14ac:dyDescent="0.25">
      <c r="A144">
        <v>143</v>
      </c>
      <c r="B144" t="s">
        <v>217</v>
      </c>
      <c r="C144" t="s">
        <v>218</v>
      </c>
      <c r="D144" t="s">
        <v>220</v>
      </c>
      <c r="E144" t="s">
        <v>217</v>
      </c>
      <c r="F144" t="s">
        <v>216</v>
      </c>
      <c r="G144" t="s">
        <v>221</v>
      </c>
    </row>
    <row r="145" spans="1:7" x14ac:dyDescent="0.25">
      <c r="A145">
        <v>144</v>
      </c>
      <c r="B145" t="s">
        <v>216</v>
      </c>
      <c r="C145" t="s">
        <v>216</v>
      </c>
      <c r="D145" t="s">
        <v>217</v>
      </c>
      <c r="E145" t="s">
        <v>219</v>
      </c>
      <c r="F145" t="s">
        <v>218</v>
      </c>
      <c r="G145" t="s">
        <v>221</v>
      </c>
    </row>
    <row r="146" spans="1:7" x14ac:dyDescent="0.25">
      <c r="A146">
        <v>145</v>
      </c>
      <c r="B146" t="s">
        <v>216</v>
      </c>
      <c r="C146" t="s">
        <v>216</v>
      </c>
      <c r="D146" t="s">
        <v>216</v>
      </c>
      <c r="E146" t="s">
        <v>217</v>
      </c>
      <c r="F146" t="s">
        <v>217</v>
      </c>
      <c r="G146" t="s">
        <v>216</v>
      </c>
    </row>
    <row r="147" spans="1:7" x14ac:dyDescent="0.25">
      <c r="A147">
        <v>146</v>
      </c>
      <c r="B147" t="s">
        <v>218</v>
      </c>
      <c r="C147" t="s">
        <v>218</v>
      </c>
      <c r="D147" t="s">
        <v>216</v>
      </c>
      <c r="E147" t="s">
        <v>221</v>
      </c>
      <c r="F147" t="s">
        <v>221</v>
      </c>
      <c r="G147" t="s">
        <v>221</v>
      </c>
    </row>
    <row r="148" spans="1:7" x14ac:dyDescent="0.25">
      <c r="A148">
        <v>147</v>
      </c>
      <c r="B148" t="s">
        <v>216</v>
      </c>
      <c r="C148" t="s">
        <v>218</v>
      </c>
      <c r="D148" t="s">
        <v>216</v>
      </c>
      <c r="E148" t="s">
        <v>217</v>
      </c>
      <c r="F148" t="s">
        <v>216</v>
      </c>
      <c r="G148" t="s">
        <v>217</v>
      </c>
    </row>
    <row r="149" spans="1:7" x14ac:dyDescent="0.25">
      <c r="A149">
        <v>148</v>
      </c>
      <c r="B149" t="s">
        <v>219</v>
      </c>
      <c r="C149" t="s">
        <v>217</v>
      </c>
      <c r="D149" t="s">
        <v>216</v>
      </c>
      <c r="E149" t="s">
        <v>221</v>
      </c>
      <c r="F149" t="s">
        <v>221</v>
      </c>
      <c r="G149" t="s">
        <v>216</v>
      </c>
    </row>
    <row r="150" spans="1:7" x14ac:dyDescent="0.25">
      <c r="A150">
        <v>149</v>
      </c>
      <c r="B150" t="s">
        <v>216</v>
      </c>
      <c r="C150" t="s">
        <v>220</v>
      </c>
      <c r="D150" t="s">
        <v>221</v>
      </c>
      <c r="E150" t="s">
        <v>218</v>
      </c>
      <c r="F150" t="s">
        <v>218</v>
      </c>
      <c r="G150" t="s">
        <v>216</v>
      </c>
    </row>
    <row r="151" spans="1:7" x14ac:dyDescent="0.25">
      <c r="A151">
        <v>150</v>
      </c>
      <c r="B151" t="s">
        <v>218</v>
      </c>
      <c r="C151" t="s">
        <v>219</v>
      </c>
      <c r="D151" t="s">
        <v>218</v>
      </c>
      <c r="E151" t="s">
        <v>220</v>
      </c>
      <c r="F151" t="s">
        <v>217</v>
      </c>
      <c r="G151" t="s">
        <v>221</v>
      </c>
    </row>
    <row r="152" spans="1:7" x14ac:dyDescent="0.25">
      <c r="A152">
        <v>151</v>
      </c>
      <c r="B152" t="s">
        <v>217</v>
      </c>
      <c r="C152" t="s">
        <v>216</v>
      </c>
      <c r="D152" t="s">
        <v>221</v>
      </c>
      <c r="E152" t="s">
        <v>218</v>
      </c>
      <c r="F152" t="s">
        <v>216</v>
      </c>
      <c r="G152" t="s">
        <v>221</v>
      </c>
    </row>
    <row r="153" spans="1:7" x14ac:dyDescent="0.25">
      <c r="A153">
        <v>152</v>
      </c>
      <c r="B153" t="s">
        <v>216</v>
      </c>
      <c r="C153" t="s">
        <v>216</v>
      </c>
      <c r="D153" t="s">
        <v>217</v>
      </c>
      <c r="E153" t="s">
        <v>219</v>
      </c>
      <c r="F153" t="s">
        <v>221</v>
      </c>
      <c r="G153" t="s">
        <v>217</v>
      </c>
    </row>
    <row r="154" spans="1:7" x14ac:dyDescent="0.25">
      <c r="A154">
        <v>153</v>
      </c>
      <c r="B154" t="s">
        <v>216</v>
      </c>
      <c r="C154" t="s">
        <v>219</v>
      </c>
      <c r="D154" t="s">
        <v>221</v>
      </c>
      <c r="E154" t="s">
        <v>217</v>
      </c>
      <c r="F154" t="s">
        <v>216</v>
      </c>
      <c r="G154" t="s">
        <v>220</v>
      </c>
    </row>
    <row r="155" spans="1:7" x14ac:dyDescent="0.25">
      <c r="A155">
        <v>154</v>
      </c>
      <c r="B155" t="s">
        <v>216</v>
      </c>
      <c r="C155" t="s">
        <v>221</v>
      </c>
      <c r="D155" t="s">
        <v>221</v>
      </c>
      <c r="E155" t="s">
        <v>221</v>
      </c>
      <c r="F155" t="s">
        <v>221</v>
      </c>
      <c r="G155" t="s">
        <v>221</v>
      </c>
    </row>
    <row r="156" spans="1:7" x14ac:dyDescent="0.25">
      <c r="A156">
        <v>155</v>
      </c>
      <c r="B156" t="s">
        <v>216</v>
      </c>
      <c r="C156" t="s">
        <v>216</v>
      </c>
      <c r="D156" t="s">
        <v>218</v>
      </c>
      <c r="E156" t="s">
        <v>219</v>
      </c>
      <c r="F156" t="s">
        <v>221</v>
      </c>
      <c r="G156" t="s">
        <v>221</v>
      </c>
    </row>
    <row r="157" spans="1:7" x14ac:dyDescent="0.25">
      <c r="A157">
        <v>156</v>
      </c>
      <c r="B157" t="s">
        <v>216</v>
      </c>
      <c r="C157" t="s">
        <v>219</v>
      </c>
      <c r="D157" t="s">
        <v>219</v>
      </c>
      <c r="E157" t="s">
        <v>216</v>
      </c>
      <c r="F157" t="s">
        <v>217</v>
      </c>
      <c r="G157" t="s">
        <v>221</v>
      </c>
    </row>
    <row r="158" spans="1:7" x14ac:dyDescent="0.25">
      <c r="A158">
        <v>157</v>
      </c>
      <c r="B158" t="s">
        <v>220</v>
      </c>
      <c r="C158" t="s">
        <v>221</v>
      </c>
      <c r="D158" t="s">
        <v>221</v>
      </c>
      <c r="E158" t="s">
        <v>216</v>
      </c>
      <c r="F158" t="s">
        <v>216</v>
      </c>
      <c r="G158" t="s">
        <v>217</v>
      </c>
    </row>
    <row r="159" spans="1:7" x14ac:dyDescent="0.25">
      <c r="A159">
        <v>158</v>
      </c>
      <c r="B159" t="s">
        <v>220</v>
      </c>
      <c r="C159" t="s">
        <v>217</v>
      </c>
      <c r="D159" t="s">
        <v>221</v>
      </c>
      <c r="E159" t="s">
        <v>221</v>
      </c>
      <c r="F159" t="s">
        <v>216</v>
      </c>
      <c r="G159" t="s">
        <v>221</v>
      </c>
    </row>
    <row r="160" spans="1:7" x14ac:dyDescent="0.25">
      <c r="A160">
        <v>159</v>
      </c>
      <c r="B160" t="s">
        <v>217</v>
      </c>
      <c r="C160" t="s">
        <v>218</v>
      </c>
      <c r="D160" t="s">
        <v>219</v>
      </c>
      <c r="E160" t="s">
        <v>220</v>
      </c>
      <c r="F160" t="s">
        <v>218</v>
      </c>
      <c r="G160" t="s">
        <v>221</v>
      </c>
    </row>
    <row r="161" spans="1:7" x14ac:dyDescent="0.25">
      <c r="A161">
        <v>160</v>
      </c>
      <c r="B161" t="s">
        <v>218</v>
      </c>
      <c r="C161" t="s">
        <v>216</v>
      </c>
      <c r="D161" t="s">
        <v>220</v>
      </c>
      <c r="E161" t="s">
        <v>221</v>
      </c>
      <c r="F161" t="s">
        <v>217</v>
      </c>
      <c r="G161" t="s">
        <v>217</v>
      </c>
    </row>
    <row r="162" spans="1:7" x14ac:dyDescent="0.25">
      <c r="A162">
        <v>161</v>
      </c>
      <c r="B162" t="s">
        <v>217</v>
      </c>
      <c r="C162" t="s">
        <v>216</v>
      </c>
      <c r="D162" t="s">
        <v>221</v>
      </c>
      <c r="E162" t="s">
        <v>220</v>
      </c>
      <c r="F162" t="s">
        <v>216</v>
      </c>
      <c r="G162" t="s">
        <v>216</v>
      </c>
    </row>
    <row r="163" spans="1:7" x14ac:dyDescent="0.25">
      <c r="A163">
        <v>162</v>
      </c>
      <c r="B163" t="s">
        <v>217</v>
      </c>
      <c r="C163" t="s">
        <v>216</v>
      </c>
      <c r="D163" t="s">
        <v>217</v>
      </c>
      <c r="E163" t="s">
        <v>221</v>
      </c>
      <c r="F163" t="s">
        <v>221</v>
      </c>
      <c r="G163" t="s">
        <v>221</v>
      </c>
    </row>
    <row r="164" spans="1:7" x14ac:dyDescent="0.25">
      <c r="A164">
        <v>163</v>
      </c>
      <c r="B164" t="s">
        <v>218</v>
      </c>
      <c r="C164" t="s">
        <v>217</v>
      </c>
      <c r="D164" t="s">
        <v>220</v>
      </c>
      <c r="E164" t="s">
        <v>221</v>
      </c>
      <c r="F164" t="s">
        <v>217</v>
      </c>
      <c r="G164" t="s">
        <v>216</v>
      </c>
    </row>
    <row r="165" spans="1:7" x14ac:dyDescent="0.25">
      <c r="A165">
        <v>164</v>
      </c>
      <c r="B165" t="s">
        <v>216</v>
      </c>
      <c r="C165" t="s">
        <v>216</v>
      </c>
      <c r="D165" t="s">
        <v>216</v>
      </c>
      <c r="E165" t="s">
        <v>221</v>
      </c>
      <c r="F165" t="s">
        <v>221</v>
      </c>
      <c r="G165" t="s">
        <v>221</v>
      </c>
    </row>
    <row r="166" spans="1:7" x14ac:dyDescent="0.25">
      <c r="A166">
        <v>165</v>
      </c>
      <c r="B166" t="s">
        <v>216</v>
      </c>
      <c r="C166" t="s">
        <v>216</v>
      </c>
      <c r="D166" t="s">
        <v>221</v>
      </c>
      <c r="E166" t="s">
        <v>218</v>
      </c>
      <c r="F166" t="s">
        <v>218</v>
      </c>
      <c r="G166" t="s">
        <v>221</v>
      </c>
    </row>
    <row r="167" spans="1:7" x14ac:dyDescent="0.25">
      <c r="A167">
        <v>166</v>
      </c>
      <c r="B167" t="s">
        <v>218</v>
      </c>
      <c r="C167" t="s">
        <v>217</v>
      </c>
      <c r="D167" t="s">
        <v>217</v>
      </c>
      <c r="E167" t="s">
        <v>218</v>
      </c>
      <c r="F167" t="s">
        <v>221</v>
      </c>
      <c r="G167" t="s">
        <v>217</v>
      </c>
    </row>
    <row r="168" spans="1:7" x14ac:dyDescent="0.25">
      <c r="A168">
        <v>167</v>
      </c>
      <c r="B168" t="s">
        <v>217</v>
      </c>
      <c r="C168" t="s">
        <v>218</v>
      </c>
      <c r="D168" t="s">
        <v>221</v>
      </c>
      <c r="E168" t="s">
        <v>216</v>
      </c>
      <c r="F168" t="s">
        <v>216</v>
      </c>
      <c r="G168" t="s">
        <v>221</v>
      </c>
    </row>
    <row r="169" spans="1:7" x14ac:dyDescent="0.25">
      <c r="A169">
        <v>168</v>
      </c>
      <c r="B169" t="s">
        <v>219</v>
      </c>
      <c r="C169" t="s">
        <v>217</v>
      </c>
      <c r="D169" t="s">
        <v>217</v>
      </c>
      <c r="E169" t="s">
        <v>221</v>
      </c>
      <c r="F169" t="s">
        <v>216</v>
      </c>
      <c r="G169" t="s">
        <v>218</v>
      </c>
    </row>
    <row r="170" spans="1:7" x14ac:dyDescent="0.25">
      <c r="A170">
        <v>169</v>
      </c>
      <c r="B170" t="s">
        <v>218</v>
      </c>
      <c r="C170" t="s">
        <v>221</v>
      </c>
      <c r="D170" t="s">
        <v>221</v>
      </c>
      <c r="E170" t="s">
        <v>219</v>
      </c>
      <c r="F170" t="s">
        <v>221</v>
      </c>
      <c r="G170" t="s">
        <v>221</v>
      </c>
    </row>
    <row r="171" spans="1:7" x14ac:dyDescent="0.25">
      <c r="A171">
        <v>170</v>
      </c>
      <c r="B171" t="s">
        <v>217</v>
      </c>
      <c r="C171" t="s">
        <v>218</v>
      </c>
      <c r="D171" t="s">
        <v>221</v>
      </c>
      <c r="E171" t="s">
        <v>221</v>
      </c>
      <c r="F171" t="s">
        <v>216</v>
      </c>
      <c r="G171" t="s">
        <v>216</v>
      </c>
    </row>
    <row r="172" spans="1:7" x14ac:dyDescent="0.25">
      <c r="A172">
        <v>171</v>
      </c>
      <c r="B172" t="s">
        <v>219</v>
      </c>
      <c r="C172" t="s">
        <v>219</v>
      </c>
      <c r="D172" t="s">
        <v>216</v>
      </c>
      <c r="E172" t="s">
        <v>217</v>
      </c>
      <c r="F172" t="s">
        <v>216</v>
      </c>
      <c r="G172" t="s">
        <v>221</v>
      </c>
    </row>
    <row r="173" spans="1:7" x14ac:dyDescent="0.25">
      <c r="A173">
        <v>172</v>
      </c>
      <c r="B173" t="s">
        <v>220</v>
      </c>
      <c r="C173" t="s">
        <v>217</v>
      </c>
      <c r="D173" t="s">
        <v>217</v>
      </c>
      <c r="E173" t="s">
        <v>220</v>
      </c>
      <c r="F173" t="s">
        <v>216</v>
      </c>
      <c r="G173" t="s">
        <v>218</v>
      </c>
    </row>
    <row r="174" spans="1:7" x14ac:dyDescent="0.25">
      <c r="A174">
        <v>173</v>
      </c>
      <c r="B174" t="s">
        <v>216</v>
      </c>
      <c r="C174" t="s">
        <v>217</v>
      </c>
      <c r="D174" t="s">
        <v>217</v>
      </c>
      <c r="E174" t="s">
        <v>217</v>
      </c>
      <c r="F174" t="s">
        <v>218</v>
      </c>
      <c r="G174" t="s">
        <v>217</v>
      </c>
    </row>
    <row r="175" spans="1:7" x14ac:dyDescent="0.25">
      <c r="A175">
        <v>174</v>
      </c>
      <c r="B175" t="s">
        <v>217</v>
      </c>
      <c r="C175" t="s">
        <v>217</v>
      </c>
      <c r="D175" t="s">
        <v>216</v>
      </c>
      <c r="E175" t="s">
        <v>216</v>
      </c>
      <c r="F175" t="s">
        <v>216</v>
      </c>
      <c r="G175" t="s">
        <v>217</v>
      </c>
    </row>
    <row r="176" spans="1:7" x14ac:dyDescent="0.25">
      <c r="A176">
        <v>175</v>
      </c>
      <c r="B176" t="s">
        <v>218</v>
      </c>
      <c r="C176" t="s">
        <v>216</v>
      </c>
      <c r="D176" t="s">
        <v>221</v>
      </c>
      <c r="E176" t="s">
        <v>216</v>
      </c>
      <c r="F176" t="s">
        <v>221</v>
      </c>
      <c r="G176" t="s">
        <v>217</v>
      </c>
    </row>
    <row r="177" spans="1:7" x14ac:dyDescent="0.25">
      <c r="A177">
        <v>176</v>
      </c>
      <c r="B177" t="s">
        <v>217</v>
      </c>
      <c r="C177" t="s">
        <v>216</v>
      </c>
      <c r="D177" t="s">
        <v>218</v>
      </c>
      <c r="E177" t="s">
        <v>221</v>
      </c>
      <c r="F177" t="s">
        <v>218</v>
      </c>
      <c r="G177" t="s">
        <v>217</v>
      </c>
    </row>
    <row r="178" spans="1:7" x14ac:dyDescent="0.25">
      <c r="A178">
        <v>177</v>
      </c>
      <c r="B178" t="s">
        <v>216</v>
      </c>
      <c r="C178" t="s">
        <v>218</v>
      </c>
      <c r="D178" t="s">
        <v>221</v>
      </c>
      <c r="E178" t="s">
        <v>216</v>
      </c>
      <c r="F178" t="s">
        <v>217</v>
      </c>
      <c r="G178" t="s">
        <v>216</v>
      </c>
    </row>
    <row r="179" spans="1:7" x14ac:dyDescent="0.25">
      <c r="A179">
        <v>178</v>
      </c>
      <c r="B179" t="s">
        <v>218</v>
      </c>
      <c r="C179" t="s">
        <v>220</v>
      </c>
      <c r="D179" t="s">
        <v>219</v>
      </c>
      <c r="E179" t="s">
        <v>217</v>
      </c>
      <c r="F179" t="s">
        <v>221</v>
      </c>
      <c r="G179" t="s">
        <v>219</v>
      </c>
    </row>
    <row r="180" spans="1:7" x14ac:dyDescent="0.25">
      <c r="A180">
        <v>179</v>
      </c>
      <c r="B180" t="s">
        <v>216</v>
      </c>
      <c r="C180" t="s">
        <v>217</v>
      </c>
      <c r="D180" t="s">
        <v>221</v>
      </c>
      <c r="E180" t="s">
        <v>216</v>
      </c>
      <c r="F180" t="s">
        <v>221</v>
      </c>
      <c r="G180" t="s">
        <v>221</v>
      </c>
    </row>
    <row r="181" spans="1:7" x14ac:dyDescent="0.25">
      <c r="A181">
        <v>180</v>
      </c>
      <c r="B181" t="s">
        <v>217</v>
      </c>
      <c r="C181" t="s">
        <v>219</v>
      </c>
      <c r="D181" t="s">
        <v>221</v>
      </c>
      <c r="E181" t="s">
        <v>218</v>
      </c>
      <c r="F181" t="s">
        <v>221</v>
      </c>
      <c r="G181" t="s">
        <v>221</v>
      </c>
    </row>
    <row r="182" spans="1:7" x14ac:dyDescent="0.25">
      <c r="A182">
        <v>181</v>
      </c>
      <c r="B182" t="s">
        <v>216</v>
      </c>
      <c r="C182" t="s">
        <v>217</v>
      </c>
      <c r="D182" t="s">
        <v>216</v>
      </c>
      <c r="E182" t="s">
        <v>219</v>
      </c>
      <c r="F182" t="s">
        <v>219</v>
      </c>
      <c r="G182" t="s">
        <v>221</v>
      </c>
    </row>
    <row r="183" spans="1:7" x14ac:dyDescent="0.25">
      <c r="A183">
        <v>182</v>
      </c>
      <c r="B183" t="s">
        <v>221</v>
      </c>
      <c r="C183" t="s">
        <v>220</v>
      </c>
      <c r="D183" t="s">
        <v>220</v>
      </c>
      <c r="E183" t="s">
        <v>221</v>
      </c>
      <c r="F183" t="s">
        <v>220</v>
      </c>
      <c r="G183" t="s">
        <v>221</v>
      </c>
    </row>
    <row r="184" spans="1:7" x14ac:dyDescent="0.25">
      <c r="A184">
        <v>183</v>
      </c>
      <c r="B184" t="s">
        <v>217</v>
      </c>
      <c r="C184" t="s">
        <v>216</v>
      </c>
      <c r="D184" t="s">
        <v>217</v>
      </c>
      <c r="E184" t="s">
        <v>216</v>
      </c>
      <c r="F184" t="s">
        <v>216</v>
      </c>
      <c r="G184" t="s">
        <v>221</v>
      </c>
    </row>
    <row r="185" spans="1:7" x14ac:dyDescent="0.25">
      <c r="A185">
        <v>184</v>
      </c>
      <c r="B185" t="s">
        <v>217</v>
      </c>
      <c r="C185" t="s">
        <v>216</v>
      </c>
      <c r="D185" t="s">
        <v>221</v>
      </c>
      <c r="E185" t="s">
        <v>221</v>
      </c>
      <c r="F185" t="s">
        <v>217</v>
      </c>
      <c r="G185" t="s">
        <v>216</v>
      </c>
    </row>
    <row r="186" spans="1:7" x14ac:dyDescent="0.25">
      <c r="A186">
        <v>185</v>
      </c>
      <c r="B186" t="s">
        <v>217</v>
      </c>
      <c r="C186" t="s">
        <v>217</v>
      </c>
      <c r="D186" t="s">
        <v>220</v>
      </c>
      <c r="E186" t="s">
        <v>216</v>
      </c>
      <c r="F186" t="s">
        <v>219</v>
      </c>
      <c r="G186" t="s">
        <v>221</v>
      </c>
    </row>
    <row r="187" spans="1:7" x14ac:dyDescent="0.25">
      <c r="A187">
        <v>186</v>
      </c>
      <c r="B187" t="s">
        <v>217</v>
      </c>
      <c r="C187" t="s">
        <v>218</v>
      </c>
      <c r="D187" t="s">
        <v>221</v>
      </c>
      <c r="E187" t="s">
        <v>217</v>
      </c>
      <c r="F187" t="s">
        <v>219</v>
      </c>
      <c r="G187" t="s">
        <v>217</v>
      </c>
    </row>
    <row r="188" spans="1:7" x14ac:dyDescent="0.25">
      <c r="A188">
        <v>187</v>
      </c>
      <c r="B188" t="s">
        <v>217</v>
      </c>
      <c r="C188" t="s">
        <v>217</v>
      </c>
      <c r="D188" t="s">
        <v>220</v>
      </c>
      <c r="E188" t="s">
        <v>216</v>
      </c>
      <c r="F188" t="s">
        <v>221</v>
      </c>
      <c r="G188" t="s">
        <v>218</v>
      </c>
    </row>
    <row r="189" spans="1:7" x14ac:dyDescent="0.25">
      <c r="A189">
        <v>188</v>
      </c>
      <c r="B189" t="s">
        <v>216</v>
      </c>
      <c r="C189" t="s">
        <v>217</v>
      </c>
      <c r="D189" t="s">
        <v>219</v>
      </c>
      <c r="E189" t="s">
        <v>221</v>
      </c>
      <c r="F189" t="s">
        <v>221</v>
      </c>
      <c r="G189" t="s">
        <v>221</v>
      </c>
    </row>
    <row r="190" spans="1:7" x14ac:dyDescent="0.25">
      <c r="A190">
        <v>189</v>
      </c>
      <c r="B190" t="s">
        <v>216</v>
      </c>
      <c r="C190" t="s">
        <v>219</v>
      </c>
      <c r="D190" t="s">
        <v>216</v>
      </c>
      <c r="E190" t="s">
        <v>221</v>
      </c>
      <c r="F190" t="s">
        <v>221</v>
      </c>
      <c r="G190" t="s">
        <v>221</v>
      </c>
    </row>
    <row r="191" spans="1:7" x14ac:dyDescent="0.25">
      <c r="A191">
        <v>190</v>
      </c>
      <c r="B191" t="s">
        <v>216</v>
      </c>
      <c r="C191" t="s">
        <v>218</v>
      </c>
      <c r="D191" t="s">
        <v>218</v>
      </c>
      <c r="E191" t="s">
        <v>220</v>
      </c>
      <c r="F191" t="s">
        <v>216</v>
      </c>
      <c r="G191" t="s">
        <v>221</v>
      </c>
    </row>
    <row r="192" spans="1:7" x14ac:dyDescent="0.25">
      <c r="A192">
        <v>191</v>
      </c>
      <c r="B192" t="s">
        <v>220</v>
      </c>
      <c r="C192" t="s">
        <v>218</v>
      </c>
      <c r="D192" t="s">
        <v>221</v>
      </c>
      <c r="E192" t="s">
        <v>220</v>
      </c>
      <c r="F192" t="s">
        <v>220</v>
      </c>
      <c r="G192" t="s">
        <v>221</v>
      </c>
    </row>
    <row r="193" spans="1:7" x14ac:dyDescent="0.25">
      <c r="A193">
        <v>192</v>
      </c>
      <c r="B193" t="s">
        <v>218</v>
      </c>
      <c r="C193" t="s">
        <v>217</v>
      </c>
      <c r="D193" t="s">
        <v>216</v>
      </c>
      <c r="E193" t="s">
        <v>219</v>
      </c>
      <c r="F193" t="s">
        <v>221</v>
      </c>
      <c r="G193" t="s">
        <v>221</v>
      </c>
    </row>
    <row r="194" spans="1:7" x14ac:dyDescent="0.25">
      <c r="A194">
        <v>193</v>
      </c>
      <c r="B194" t="s">
        <v>216</v>
      </c>
      <c r="C194" t="s">
        <v>216</v>
      </c>
      <c r="D194" t="s">
        <v>217</v>
      </c>
      <c r="E194" t="s">
        <v>218</v>
      </c>
      <c r="F194" t="s">
        <v>218</v>
      </c>
      <c r="G194" t="s">
        <v>216</v>
      </c>
    </row>
    <row r="195" spans="1:7" x14ac:dyDescent="0.25">
      <c r="A195">
        <v>194</v>
      </c>
      <c r="B195" t="s">
        <v>219</v>
      </c>
      <c r="C195" t="s">
        <v>216</v>
      </c>
      <c r="D195" t="s">
        <v>218</v>
      </c>
      <c r="E195" t="s">
        <v>216</v>
      </c>
      <c r="F195" t="s">
        <v>218</v>
      </c>
      <c r="G195" t="s">
        <v>216</v>
      </c>
    </row>
    <row r="196" spans="1:7" x14ac:dyDescent="0.25">
      <c r="A196">
        <v>195</v>
      </c>
      <c r="B196" t="s">
        <v>216</v>
      </c>
      <c r="C196" t="s">
        <v>220</v>
      </c>
      <c r="D196" t="s">
        <v>217</v>
      </c>
      <c r="E196" t="s">
        <v>221</v>
      </c>
      <c r="F196" t="s">
        <v>221</v>
      </c>
      <c r="G196" t="s">
        <v>217</v>
      </c>
    </row>
    <row r="197" spans="1:7" x14ac:dyDescent="0.25">
      <c r="A197">
        <v>196</v>
      </c>
      <c r="B197" t="s">
        <v>217</v>
      </c>
      <c r="C197" t="s">
        <v>221</v>
      </c>
      <c r="D197" t="s">
        <v>218</v>
      </c>
      <c r="E197" t="s">
        <v>217</v>
      </c>
      <c r="F197" t="s">
        <v>217</v>
      </c>
      <c r="G197" t="s">
        <v>219</v>
      </c>
    </row>
    <row r="198" spans="1:7" x14ac:dyDescent="0.25">
      <c r="A198">
        <v>197</v>
      </c>
      <c r="B198" t="s">
        <v>216</v>
      </c>
      <c r="C198" t="s">
        <v>219</v>
      </c>
      <c r="D198" t="s">
        <v>216</v>
      </c>
      <c r="E198" t="s">
        <v>218</v>
      </c>
      <c r="F198" t="s">
        <v>221</v>
      </c>
      <c r="G198" t="s">
        <v>220</v>
      </c>
    </row>
    <row r="199" spans="1:7" x14ac:dyDescent="0.25">
      <c r="A199">
        <v>198</v>
      </c>
      <c r="B199" t="s">
        <v>217</v>
      </c>
      <c r="C199" t="s">
        <v>217</v>
      </c>
      <c r="D199" t="s">
        <v>218</v>
      </c>
      <c r="E199" t="s">
        <v>221</v>
      </c>
      <c r="F199" t="s">
        <v>220</v>
      </c>
      <c r="G199" t="s">
        <v>221</v>
      </c>
    </row>
    <row r="200" spans="1:7" x14ac:dyDescent="0.25">
      <c r="A200">
        <v>199</v>
      </c>
      <c r="B200" t="s">
        <v>218</v>
      </c>
      <c r="C200" t="s">
        <v>221</v>
      </c>
      <c r="D200" t="s">
        <v>218</v>
      </c>
      <c r="E200" t="s">
        <v>216</v>
      </c>
      <c r="F200" t="s">
        <v>221</v>
      </c>
      <c r="G200" t="s">
        <v>221</v>
      </c>
    </row>
    <row r="201" spans="1:7" x14ac:dyDescent="0.25">
      <c r="A201">
        <v>200</v>
      </c>
      <c r="B201" t="s">
        <v>219</v>
      </c>
      <c r="C201" t="s">
        <v>216</v>
      </c>
      <c r="D201" t="s">
        <v>221</v>
      </c>
      <c r="E201" t="s">
        <v>221</v>
      </c>
      <c r="F201" t="s">
        <v>216</v>
      </c>
      <c r="G201" t="s">
        <v>221</v>
      </c>
    </row>
    <row r="202" spans="1:7" x14ac:dyDescent="0.25">
      <c r="A202">
        <v>201</v>
      </c>
      <c r="B202" t="s">
        <v>216</v>
      </c>
      <c r="C202" t="s">
        <v>218</v>
      </c>
      <c r="D202" t="s">
        <v>221</v>
      </c>
      <c r="E202" t="s">
        <v>216</v>
      </c>
      <c r="F202" t="s">
        <v>218</v>
      </c>
      <c r="G202" t="s">
        <v>221</v>
      </c>
    </row>
    <row r="203" spans="1:7" x14ac:dyDescent="0.25">
      <c r="A203">
        <v>202</v>
      </c>
      <c r="B203" t="s">
        <v>216</v>
      </c>
      <c r="C203" t="s">
        <v>217</v>
      </c>
      <c r="D203" t="s">
        <v>221</v>
      </c>
      <c r="E203" t="s">
        <v>216</v>
      </c>
      <c r="F203" t="s">
        <v>221</v>
      </c>
      <c r="G203" t="s">
        <v>221</v>
      </c>
    </row>
    <row r="204" spans="1:7" x14ac:dyDescent="0.25">
      <c r="A204">
        <v>203</v>
      </c>
      <c r="B204" t="s">
        <v>221</v>
      </c>
      <c r="C204" t="s">
        <v>216</v>
      </c>
      <c r="D204" t="s">
        <v>218</v>
      </c>
      <c r="E204" t="s">
        <v>218</v>
      </c>
      <c r="F204" t="s">
        <v>221</v>
      </c>
      <c r="G204" t="s">
        <v>217</v>
      </c>
    </row>
    <row r="205" spans="1:7" x14ac:dyDescent="0.25">
      <c r="A205">
        <v>204</v>
      </c>
      <c r="B205" t="s">
        <v>216</v>
      </c>
      <c r="C205" t="s">
        <v>216</v>
      </c>
      <c r="D205" t="s">
        <v>216</v>
      </c>
      <c r="E205" t="s">
        <v>217</v>
      </c>
      <c r="F205" t="s">
        <v>218</v>
      </c>
      <c r="G205" t="s">
        <v>221</v>
      </c>
    </row>
    <row r="206" spans="1:7" x14ac:dyDescent="0.25">
      <c r="A206">
        <v>205</v>
      </c>
      <c r="B206" t="s">
        <v>216</v>
      </c>
      <c r="C206" t="s">
        <v>220</v>
      </c>
      <c r="D206" t="s">
        <v>218</v>
      </c>
      <c r="E206" t="s">
        <v>216</v>
      </c>
      <c r="F206" t="s">
        <v>221</v>
      </c>
      <c r="G206" t="s">
        <v>221</v>
      </c>
    </row>
    <row r="207" spans="1:7" x14ac:dyDescent="0.25">
      <c r="A207">
        <v>206</v>
      </c>
      <c r="B207" t="s">
        <v>217</v>
      </c>
      <c r="C207" t="s">
        <v>217</v>
      </c>
      <c r="D207" t="s">
        <v>217</v>
      </c>
      <c r="E207" t="s">
        <v>221</v>
      </c>
      <c r="F207" t="s">
        <v>217</v>
      </c>
      <c r="G207" t="s">
        <v>221</v>
      </c>
    </row>
    <row r="208" spans="1:7" x14ac:dyDescent="0.25">
      <c r="A208">
        <v>207</v>
      </c>
      <c r="B208" t="s">
        <v>218</v>
      </c>
      <c r="C208" t="s">
        <v>221</v>
      </c>
      <c r="D208" t="s">
        <v>219</v>
      </c>
      <c r="E208" t="s">
        <v>221</v>
      </c>
      <c r="F208" t="s">
        <v>221</v>
      </c>
      <c r="G208" t="s">
        <v>218</v>
      </c>
    </row>
    <row r="209" spans="1:7" x14ac:dyDescent="0.25">
      <c r="A209">
        <v>208</v>
      </c>
      <c r="B209" t="s">
        <v>218</v>
      </c>
      <c r="C209" t="s">
        <v>221</v>
      </c>
      <c r="D209" t="s">
        <v>217</v>
      </c>
      <c r="E209" t="s">
        <v>221</v>
      </c>
      <c r="F209" t="s">
        <v>221</v>
      </c>
      <c r="G209" t="s">
        <v>221</v>
      </c>
    </row>
    <row r="210" spans="1:7" x14ac:dyDescent="0.25">
      <c r="A210">
        <v>209</v>
      </c>
      <c r="B210" t="s">
        <v>217</v>
      </c>
      <c r="C210" t="s">
        <v>218</v>
      </c>
      <c r="D210" t="s">
        <v>217</v>
      </c>
      <c r="E210" t="s">
        <v>221</v>
      </c>
      <c r="F210" t="s">
        <v>221</v>
      </c>
      <c r="G210" t="s">
        <v>221</v>
      </c>
    </row>
    <row r="211" spans="1:7" x14ac:dyDescent="0.25">
      <c r="A211">
        <v>210</v>
      </c>
      <c r="B211" t="s">
        <v>216</v>
      </c>
      <c r="C211" t="s">
        <v>218</v>
      </c>
      <c r="D211" t="s">
        <v>216</v>
      </c>
      <c r="E211" t="s">
        <v>221</v>
      </c>
      <c r="F211" t="s">
        <v>221</v>
      </c>
      <c r="G211" t="s">
        <v>217</v>
      </c>
    </row>
    <row r="212" spans="1:7" x14ac:dyDescent="0.25">
      <c r="A212">
        <v>211</v>
      </c>
      <c r="B212" t="s">
        <v>216</v>
      </c>
      <c r="C212" t="s">
        <v>216</v>
      </c>
      <c r="D212" t="s">
        <v>221</v>
      </c>
      <c r="E212" t="s">
        <v>216</v>
      </c>
      <c r="F212" t="s">
        <v>221</v>
      </c>
      <c r="G212" t="s">
        <v>221</v>
      </c>
    </row>
    <row r="213" spans="1:7" x14ac:dyDescent="0.25">
      <c r="A213">
        <v>212</v>
      </c>
      <c r="B213" t="s">
        <v>216</v>
      </c>
      <c r="C213" t="s">
        <v>220</v>
      </c>
      <c r="D213" t="s">
        <v>221</v>
      </c>
      <c r="E213" t="s">
        <v>218</v>
      </c>
      <c r="F213" t="s">
        <v>221</v>
      </c>
      <c r="G213" t="s">
        <v>218</v>
      </c>
    </row>
    <row r="214" spans="1:7" x14ac:dyDescent="0.25">
      <c r="A214">
        <v>213</v>
      </c>
      <c r="B214" t="s">
        <v>217</v>
      </c>
      <c r="C214" t="s">
        <v>220</v>
      </c>
      <c r="D214" t="s">
        <v>216</v>
      </c>
      <c r="E214" t="s">
        <v>221</v>
      </c>
      <c r="F214" t="s">
        <v>220</v>
      </c>
      <c r="G214" t="s">
        <v>217</v>
      </c>
    </row>
    <row r="215" spans="1:7" x14ac:dyDescent="0.25">
      <c r="A215">
        <v>214</v>
      </c>
      <c r="B215" t="s">
        <v>216</v>
      </c>
      <c r="C215" t="s">
        <v>216</v>
      </c>
      <c r="D215" t="s">
        <v>219</v>
      </c>
      <c r="E215" t="s">
        <v>218</v>
      </c>
      <c r="F215" t="s">
        <v>217</v>
      </c>
      <c r="G215" t="s">
        <v>217</v>
      </c>
    </row>
    <row r="216" spans="1:7" x14ac:dyDescent="0.25">
      <c r="A216">
        <v>215</v>
      </c>
      <c r="B216" t="s">
        <v>217</v>
      </c>
      <c r="C216" t="s">
        <v>220</v>
      </c>
      <c r="D216" t="s">
        <v>220</v>
      </c>
      <c r="E216" t="s">
        <v>221</v>
      </c>
      <c r="F216" t="s">
        <v>216</v>
      </c>
      <c r="G216" t="s">
        <v>220</v>
      </c>
    </row>
    <row r="217" spans="1:7" x14ac:dyDescent="0.25">
      <c r="A217">
        <v>216</v>
      </c>
      <c r="B217" t="s">
        <v>216</v>
      </c>
      <c r="C217" t="s">
        <v>218</v>
      </c>
      <c r="D217" t="s">
        <v>216</v>
      </c>
      <c r="E217" t="s">
        <v>218</v>
      </c>
      <c r="F217" t="s">
        <v>221</v>
      </c>
      <c r="G217" t="s">
        <v>221</v>
      </c>
    </row>
    <row r="218" spans="1:7" x14ac:dyDescent="0.25">
      <c r="A218">
        <v>217</v>
      </c>
      <c r="B218" t="s">
        <v>216</v>
      </c>
      <c r="C218" t="s">
        <v>218</v>
      </c>
      <c r="D218" t="s">
        <v>216</v>
      </c>
      <c r="E218" t="s">
        <v>219</v>
      </c>
      <c r="F218" t="s">
        <v>221</v>
      </c>
      <c r="G218" t="s">
        <v>221</v>
      </c>
    </row>
    <row r="219" spans="1:7" x14ac:dyDescent="0.25">
      <c r="A219">
        <v>218</v>
      </c>
      <c r="B219" t="s">
        <v>219</v>
      </c>
      <c r="C219" t="s">
        <v>217</v>
      </c>
      <c r="D219" t="s">
        <v>218</v>
      </c>
      <c r="E219" t="s">
        <v>219</v>
      </c>
      <c r="F219" t="s">
        <v>221</v>
      </c>
      <c r="G219" t="s">
        <v>221</v>
      </c>
    </row>
    <row r="220" spans="1:7" x14ac:dyDescent="0.25">
      <c r="A220">
        <v>219</v>
      </c>
      <c r="B220" t="s">
        <v>216</v>
      </c>
      <c r="C220" t="s">
        <v>217</v>
      </c>
      <c r="D220" t="s">
        <v>218</v>
      </c>
      <c r="E220" t="s">
        <v>220</v>
      </c>
      <c r="F220" t="s">
        <v>218</v>
      </c>
      <c r="G220" t="s">
        <v>216</v>
      </c>
    </row>
    <row r="221" spans="1:7" x14ac:dyDescent="0.25">
      <c r="A221">
        <v>220</v>
      </c>
      <c r="B221" t="s">
        <v>218</v>
      </c>
      <c r="C221" t="s">
        <v>219</v>
      </c>
      <c r="D221" t="s">
        <v>220</v>
      </c>
      <c r="E221" t="s">
        <v>216</v>
      </c>
      <c r="F221" t="s">
        <v>221</v>
      </c>
      <c r="G221" t="s">
        <v>221</v>
      </c>
    </row>
    <row r="222" spans="1:7" x14ac:dyDescent="0.25">
      <c r="A222">
        <v>221</v>
      </c>
      <c r="B222" t="s">
        <v>217</v>
      </c>
      <c r="C222" t="s">
        <v>220</v>
      </c>
      <c r="D222" t="s">
        <v>218</v>
      </c>
      <c r="E222" t="s">
        <v>218</v>
      </c>
      <c r="F222" t="s">
        <v>216</v>
      </c>
      <c r="G222" t="s">
        <v>216</v>
      </c>
    </row>
    <row r="223" spans="1:7" x14ac:dyDescent="0.25">
      <c r="A223">
        <v>222</v>
      </c>
      <c r="B223" t="s">
        <v>218</v>
      </c>
      <c r="C223" t="s">
        <v>217</v>
      </c>
      <c r="D223" t="s">
        <v>221</v>
      </c>
      <c r="E223" t="s">
        <v>217</v>
      </c>
      <c r="F223" t="s">
        <v>216</v>
      </c>
      <c r="G223" t="s">
        <v>221</v>
      </c>
    </row>
    <row r="224" spans="1:7" x14ac:dyDescent="0.25">
      <c r="A224">
        <v>223</v>
      </c>
      <c r="B224" t="s">
        <v>216</v>
      </c>
      <c r="C224" t="s">
        <v>216</v>
      </c>
      <c r="D224" t="s">
        <v>216</v>
      </c>
      <c r="E224" t="s">
        <v>216</v>
      </c>
      <c r="F224" t="s">
        <v>221</v>
      </c>
      <c r="G224" t="s">
        <v>216</v>
      </c>
    </row>
    <row r="225" spans="1:7" x14ac:dyDescent="0.25">
      <c r="A225">
        <v>224</v>
      </c>
      <c r="B225" t="s">
        <v>216</v>
      </c>
      <c r="C225" t="s">
        <v>216</v>
      </c>
      <c r="D225" t="s">
        <v>221</v>
      </c>
      <c r="E225" t="s">
        <v>221</v>
      </c>
      <c r="F225" t="s">
        <v>218</v>
      </c>
      <c r="G225" t="s">
        <v>221</v>
      </c>
    </row>
    <row r="226" spans="1:7" x14ac:dyDescent="0.25">
      <c r="A226">
        <v>225</v>
      </c>
      <c r="B226" t="s">
        <v>216</v>
      </c>
      <c r="C226" t="s">
        <v>217</v>
      </c>
      <c r="D226" t="s">
        <v>219</v>
      </c>
      <c r="E226" t="s">
        <v>217</v>
      </c>
      <c r="F226" t="s">
        <v>221</v>
      </c>
      <c r="G226" t="s">
        <v>217</v>
      </c>
    </row>
    <row r="227" spans="1:7" x14ac:dyDescent="0.25">
      <c r="A227">
        <v>226</v>
      </c>
      <c r="B227" t="s">
        <v>218</v>
      </c>
      <c r="C227" t="s">
        <v>217</v>
      </c>
      <c r="D227" t="s">
        <v>219</v>
      </c>
      <c r="E227" t="s">
        <v>221</v>
      </c>
      <c r="F227" t="s">
        <v>216</v>
      </c>
      <c r="G227" t="s">
        <v>221</v>
      </c>
    </row>
    <row r="228" spans="1:7" x14ac:dyDescent="0.25">
      <c r="A228">
        <v>227</v>
      </c>
      <c r="B228" t="s">
        <v>219</v>
      </c>
      <c r="C228" t="s">
        <v>217</v>
      </c>
      <c r="D228" t="s">
        <v>216</v>
      </c>
      <c r="E228" t="s">
        <v>221</v>
      </c>
      <c r="F228" t="s">
        <v>221</v>
      </c>
      <c r="G228" t="s">
        <v>217</v>
      </c>
    </row>
    <row r="229" spans="1:7" x14ac:dyDescent="0.25">
      <c r="A229">
        <v>228</v>
      </c>
      <c r="B229" t="s">
        <v>217</v>
      </c>
      <c r="C229" t="s">
        <v>219</v>
      </c>
      <c r="D229" t="s">
        <v>216</v>
      </c>
      <c r="E229" t="s">
        <v>221</v>
      </c>
      <c r="F229" t="s">
        <v>221</v>
      </c>
      <c r="G229" t="s">
        <v>221</v>
      </c>
    </row>
    <row r="230" spans="1:7" x14ac:dyDescent="0.25">
      <c r="A230">
        <v>229</v>
      </c>
      <c r="B230" t="s">
        <v>216</v>
      </c>
      <c r="C230" t="s">
        <v>217</v>
      </c>
      <c r="D230" t="s">
        <v>221</v>
      </c>
      <c r="E230" t="s">
        <v>217</v>
      </c>
      <c r="F230" t="s">
        <v>221</v>
      </c>
      <c r="G230" t="s">
        <v>221</v>
      </c>
    </row>
    <row r="231" spans="1:7" x14ac:dyDescent="0.25">
      <c r="A231">
        <v>230</v>
      </c>
      <c r="B231" t="s">
        <v>216</v>
      </c>
      <c r="C231" t="s">
        <v>217</v>
      </c>
      <c r="D231" t="s">
        <v>216</v>
      </c>
      <c r="E231" t="s">
        <v>217</v>
      </c>
      <c r="F231" t="s">
        <v>221</v>
      </c>
      <c r="G231" t="s">
        <v>219</v>
      </c>
    </row>
    <row r="232" spans="1:7" x14ac:dyDescent="0.25">
      <c r="A232">
        <v>231</v>
      </c>
      <c r="B232" t="s">
        <v>216</v>
      </c>
      <c r="C232" t="s">
        <v>216</v>
      </c>
      <c r="D232" t="s">
        <v>218</v>
      </c>
      <c r="E232" t="s">
        <v>217</v>
      </c>
      <c r="F232" t="s">
        <v>221</v>
      </c>
      <c r="G232" t="s">
        <v>217</v>
      </c>
    </row>
    <row r="233" spans="1:7" x14ac:dyDescent="0.25">
      <c r="A233">
        <v>232</v>
      </c>
      <c r="B233" t="s">
        <v>219</v>
      </c>
      <c r="C233" t="s">
        <v>219</v>
      </c>
      <c r="D233" t="s">
        <v>220</v>
      </c>
      <c r="E233" t="s">
        <v>221</v>
      </c>
      <c r="F233" t="s">
        <v>220</v>
      </c>
      <c r="G233" t="s">
        <v>218</v>
      </c>
    </row>
    <row r="234" spans="1:7" x14ac:dyDescent="0.25">
      <c r="A234">
        <v>233</v>
      </c>
      <c r="B234" t="s">
        <v>216</v>
      </c>
      <c r="C234" t="s">
        <v>217</v>
      </c>
      <c r="D234" t="s">
        <v>221</v>
      </c>
      <c r="E234" t="s">
        <v>217</v>
      </c>
      <c r="F234" t="s">
        <v>218</v>
      </c>
      <c r="G234" t="s">
        <v>221</v>
      </c>
    </row>
    <row r="235" spans="1:7" x14ac:dyDescent="0.25">
      <c r="A235">
        <v>234</v>
      </c>
      <c r="B235" t="s">
        <v>217</v>
      </c>
      <c r="C235" t="s">
        <v>217</v>
      </c>
      <c r="D235" t="s">
        <v>221</v>
      </c>
      <c r="E235" t="s">
        <v>221</v>
      </c>
      <c r="F235" t="s">
        <v>218</v>
      </c>
      <c r="G235" t="s">
        <v>221</v>
      </c>
    </row>
    <row r="236" spans="1:7" x14ac:dyDescent="0.25">
      <c r="A236">
        <v>235</v>
      </c>
      <c r="B236" t="s">
        <v>218</v>
      </c>
      <c r="C236" t="s">
        <v>221</v>
      </c>
      <c r="D236" t="s">
        <v>218</v>
      </c>
      <c r="E236" t="s">
        <v>221</v>
      </c>
      <c r="F236" t="s">
        <v>216</v>
      </c>
      <c r="G236" t="s">
        <v>216</v>
      </c>
    </row>
    <row r="237" spans="1:7" x14ac:dyDescent="0.25">
      <c r="A237">
        <v>236</v>
      </c>
      <c r="B237" t="s">
        <v>217</v>
      </c>
      <c r="C237" t="s">
        <v>221</v>
      </c>
      <c r="D237" t="s">
        <v>218</v>
      </c>
      <c r="E237" t="s">
        <v>220</v>
      </c>
      <c r="F237" t="s">
        <v>219</v>
      </c>
      <c r="G237" t="s">
        <v>216</v>
      </c>
    </row>
    <row r="238" spans="1:7" x14ac:dyDescent="0.25">
      <c r="A238">
        <v>237</v>
      </c>
      <c r="B238" t="s">
        <v>216</v>
      </c>
      <c r="C238" t="s">
        <v>216</v>
      </c>
      <c r="D238" t="s">
        <v>221</v>
      </c>
      <c r="E238" t="s">
        <v>217</v>
      </c>
      <c r="F238" t="s">
        <v>220</v>
      </c>
      <c r="G238" t="s">
        <v>221</v>
      </c>
    </row>
    <row r="239" spans="1:7" x14ac:dyDescent="0.25">
      <c r="A239">
        <v>238</v>
      </c>
      <c r="B239" t="s">
        <v>216</v>
      </c>
      <c r="C239" t="s">
        <v>221</v>
      </c>
      <c r="D239" t="s">
        <v>221</v>
      </c>
      <c r="E239" t="s">
        <v>217</v>
      </c>
      <c r="F239" t="s">
        <v>217</v>
      </c>
      <c r="G239" t="s">
        <v>221</v>
      </c>
    </row>
    <row r="240" spans="1:7" x14ac:dyDescent="0.25">
      <c r="A240">
        <v>239</v>
      </c>
      <c r="B240" t="s">
        <v>218</v>
      </c>
      <c r="C240" t="s">
        <v>217</v>
      </c>
      <c r="D240" t="s">
        <v>217</v>
      </c>
      <c r="E240" t="s">
        <v>216</v>
      </c>
      <c r="F240" t="s">
        <v>216</v>
      </c>
      <c r="G240" t="s">
        <v>216</v>
      </c>
    </row>
    <row r="241" spans="1:7" x14ac:dyDescent="0.25">
      <c r="A241">
        <v>240</v>
      </c>
      <c r="B241" t="s">
        <v>218</v>
      </c>
      <c r="C241" t="s">
        <v>217</v>
      </c>
      <c r="D241" t="s">
        <v>217</v>
      </c>
      <c r="E241" t="s">
        <v>221</v>
      </c>
      <c r="F241" t="s">
        <v>221</v>
      </c>
      <c r="G241" t="s">
        <v>221</v>
      </c>
    </row>
    <row r="242" spans="1:7" x14ac:dyDescent="0.25">
      <c r="A242">
        <v>241</v>
      </c>
      <c r="B242" t="s">
        <v>218</v>
      </c>
      <c r="C242" t="s">
        <v>217</v>
      </c>
      <c r="D242" t="s">
        <v>218</v>
      </c>
      <c r="E242" t="s">
        <v>217</v>
      </c>
      <c r="F242" t="s">
        <v>221</v>
      </c>
      <c r="G242" t="s">
        <v>216</v>
      </c>
    </row>
    <row r="243" spans="1:7" x14ac:dyDescent="0.25">
      <c r="A243">
        <v>242</v>
      </c>
      <c r="B243" t="s">
        <v>217</v>
      </c>
      <c r="C243" t="s">
        <v>219</v>
      </c>
      <c r="D243" t="s">
        <v>216</v>
      </c>
      <c r="E243" t="s">
        <v>216</v>
      </c>
      <c r="F243" t="s">
        <v>217</v>
      </c>
      <c r="G243" t="s">
        <v>219</v>
      </c>
    </row>
    <row r="244" spans="1:7" x14ac:dyDescent="0.25">
      <c r="A244">
        <v>243</v>
      </c>
      <c r="B244" t="s">
        <v>218</v>
      </c>
      <c r="C244" t="s">
        <v>217</v>
      </c>
      <c r="D244" t="s">
        <v>216</v>
      </c>
      <c r="E244" t="s">
        <v>218</v>
      </c>
      <c r="F244" t="s">
        <v>218</v>
      </c>
      <c r="G244" t="s">
        <v>221</v>
      </c>
    </row>
    <row r="245" spans="1:7" x14ac:dyDescent="0.25">
      <c r="A245">
        <v>244</v>
      </c>
      <c r="B245" t="s">
        <v>219</v>
      </c>
      <c r="C245" t="s">
        <v>219</v>
      </c>
      <c r="D245" t="s">
        <v>219</v>
      </c>
      <c r="E245" t="s">
        <v>216</v>
      </c>
      <c r="F245" t="s">
        <v>216</v>
      </c>
      <c r="G245" t="s">
        <v>218</v>
      </c>
    </row>
    <row r="246" spans="1:7" x14ac:dyDescent="0.25">
      <c r="A246">
        <v>245</v>
      </c>
      <c r="B246" t="s">
        <v>218</v>
      </c>
      <c r="C246" t="s">
        <v>217</v>
      </c>
      <c r="D246" t="s">
        <v>216</v>
      </c>
      <c r="E246" t="s">
        <v>216</v>
      </c>
      <c r="F246" t="s">
        <v>218</v>
      </c>
      <c r="G246" t="s">
        <v>217</v>
      </c>
    </row>
    <row r="247" spans="1:7" x14ac:dyDescent="0.25">
      <c r="A247">
        <v>246</v>
      </c>
      <c r="B247" t="s">
        <v>220</v>
      </c>
      <c r="C247" t="s">
        <v>216</v>
      </c>
      <c r="D247" t="s">
        <v>218</v>
      </c>
      <c r="E247" t="s">
        <v>221</v>
      </c>
      <c r="F247" t="s">
        <v>216</v>
      </c>
      <c r="G247" t="s">
        <v>221</v>
      </c>
    </row>
    <row r="248" spans="1:7" x14ac:dyDescent="0.25">
      <c r="A248">
        <v>247</v>
      </c>
      <c r="B248" t="s">
        <v>216</v>
      </c>
      <c r="C248" t="s">
        <v>220</v>
      </c>
      <c r="D248" t="s">
        <v>217</v>
      </c>
      <c r="E248" t="s">
        <v>216</v>
      </c>
      <c r="F248" t="s">
        <v>221</v>
      </c>
      <c r="G248" t="s">
        <v>221</v>
      </c>
    </row>
    <row r="249" spans="1:7" x14ac:dyDescent="0.25">
      <c r="A249">
        <v>248</v>
      </c>
      <c r="B249" t="s">
        <v>216</v>
      </c>
      <c r="C249" t="s">
        <v>218</v>
      </c>
      <c r="D249" t="s">
        <v>218</v>
      </c>
      <c r="E249" t="s">
        <v>218</v>
      </c>
      <c r="F249" t="s">
        <v>217</v>
      </c>
      <c r="G249" t="s">
        <v>218</v>
      </c>
    </row>
    <row r="250" spans="1:7" x14ac:dyDescent="0.25">
      <c r="A250">
        <v>249</v>
      </c>
      <c r="B250" t="s">
        <v>218</v>
      </c>
      <c r="C250" t="s">
        <v>216</v>
      </c>
      <c r="D250" t="s">
        <v>217</v>
      </c>
      <c r="E250" t="s">
        <v>221</v>
      </c>
      <c r="F250" t="s">
        <v>217</v>
      </c>
      <c r="G250" t="s">
        <v>216</v>
      </c>
    </row>
    <row r="251" spans="1:7" x14ac:dyDescent="0.25">
      <c r="A251">
        <v>250</v>
      </c>
      <c r="B251" t="s">
        <v>216</v>
      </c>
      <c r="C251" t="s">
        <v>219</v>
      </c>
      <c r="D251" t="s">
        <v>217</v>
      </c>
      <c r="E251" t="s">
        <v>216</v>
      </c>
      <c r="F251" t="s">
        <v>221</v>
      </c>
      <c r="G251" t="s">
        <v>219</v>
      </c>
    </row>
    <row r="252" spans="1:7" x14ac:dyDescent="0.25">
      <c r="A252">
        <v>251</v>
      </c>
      <c r="B252" t="s">
        <v>216</v>
      </c>
      <c r="C252" t="s">
        <v>220</v>
      </c>
      <c r="D252" t="s">
        <v>221</v>
      </c>
      <c r="E252" t="s">
        <v>216</v>
      </c>
      <c r="F252" t="s">
        <v>216</v>
      </c>
      <c r="G252" t="s">
        <v>220</v>
      </c>
    </row>
    <row r="253" spans="1:7" x14ac:dyDescent="0.25">
      <c r="A253">
        <v>252</v>
      </c>
      <c r="B253" t="s">
        <v>216</v>
      </c>
      <c r="C253" t="s">
        <v>217</v>
      </c>
      <c r="D253" t="s">
        <v>217</v>
      </c>
      <c r="E253" t="s">
        <v>218</v>
      </c>
      <c r="F253" t="s">
        <v>217</v>
      </c>
      <c r="G253" t="s">
        <v>221</v>
      </c>
    </row>
    <row r="254" spans="1:7" x14ac:dyDescent="0.25">
      <c r="A254">
        <v>253</v>
      </c>
      <c r="B254" t="s">
        <v>217</v>
      </c>
      <c r="C254" t="s">
        <v>216</v>
      </c>
      <c r="D254" t="s">
        <v>221</v>
      </c>
      <c r="E254" t="s">
        <v>221</v>
      </c>
      <c r="F254" t="s">
        <v>216</v>
      </c>
      <c r="G254" t="s">
        <v>216</v>
      </c>
    </row>
    <row r="255" spans="1:7" x14ac:dyDescent="0.25">
      <c r="A255">
        <v>254</v>
      </c>
      <c r="B255" t="s">
        <v>219</v>
      </c>
      <c r="C255" t="s">
        <v>217</v>
      </c>
      <c r="D255" t="s">
        <v>220</v>
      </c>
      <c r="E255" t="s">
        <v>216</v>
      </c>
      <c r="F255" t="s">
        <v>221</v>
      </c>
      <c r="G255" t="s">
        <v>221</v>
      </c>
    </row>
    <row r="256" spans="1:7" x14ac:dyDescent="0.25">
      <c r="A256">
        <v>255</v>
      </c>
      <c r="B256" t="s">
        <v>216</v>
      </c>
      <c r="C256" t="s">
        <v>216</v>
      </c>
      <c r="D256" t="s">
        <v>218</v>
      </c>
      <c r="E256" t="s">
        <v>216</v>
      </c>
      <c r="F256" t="s">
        <v>221</v>
      </c>
      <c r="G256" t="s">
        <v>221</v>
      </c>
    </row>
    <row r="257" spans="1:7" x14ac:dyDescent="0.25">
      <c r="A257">
        <v>256</v>
      </c>
      <c r="B257" t="s">
        <v>217</v>
      </c>
      <c r="C257" t="s">
        <v>217</v>
      </c>
      <c r="D257" t="s">
        <v>217</v>
      </c>
      <c r="E257" t="s">
        <v>217</v>
      </c>
      <c r="F257" t="s">
        <v>221</v>
      </c>
      <c r="G257" t="s">
        <v>221</v>
      </c>
    </row>
    <row r="258" spans="1:7" x14ac:dyDescent="0.25">
      <c r="A258">
        <v>257</v>
      </c>
      <c r="B258" t="s">
        <v>220</v>
      </c>
      <c r="C258" t="s">
        <v>218</v>
      </c>
      <c r="D258" t="s">
        <v>216</v>
      </c>
      <c r="E258" t="s">
        <v>217</v>
      </c>
      <c r="F258" t="s">
        <v>221</v>
      </c>
      <c r="G258" t="s">
        <v>217</v>
      </c>
    </row>
    <row r="259" spans="1:7" x14ac:dyDescent="0.25">
      <c r="A259">
        <v>258</v>
      </c>
      <c r="B259" t="s">
        <v>217</v>
      </c>
      <c r="C259" t="s">
        <v>219</v>
      </c>
      <c r="D259" t="s">
        <v>218</v>
      </c>
      <c r="E259" t="s">
        <v>221</v>
      </c>
      <c r="F259" t="s">
        <v>216</v>
      </c>
      <c r="G259" t="s">
        <v>221</v>
      </c>
    </row>
    <row r="260" spans="1:7" x14ac:dyDescent="0.25">
      <c r="A260">
        <v>259</v>
      </c>
      <c r="B260" t="s">
        <v>218</v>
      </c>
      <c r="C260" t="s">
        <v>221</v>
      </c>
      <c r="D260" t="s">
        <v>221</v>
      </c>
      <c r="E260" t="s">
        <v>220</v>
      </c>
      <c r="F260" t="s">
        <v>221</v>
      </c>
      <c r="G260" t="s">
        <v>216</v>
      </c>
    </row>
    <row r="261" spans="1:7" x14ac:dyDescent="0.25">
      <c r="A261">
        <v>260</v>
      </c>
      <c r="B261" t="s">
        <v>216</v>
      </c>
      <c r="C261" t="s">
        <v>216</v>
      </c>
      <c r="D261" t="s">
        <v>221</v>
      </c>
      <c r="E261" t="s">
        <v>218</v>
      </c>
      <c r="F261" t="s">
        <v>221</v>
      </c>
      <c r="G261" t="s">
        <v>216</v>
      </c>
    </row>
    <row r="262" spans="1:7" x14ac:dyDescent="0.25">
      <c r="A262">
        <v>261</v>
      </c>
      <c r="B262" t="s">
        <v>216</v>
      </c>
      <c r="C262" t="s">
        <v>217</v>
      </c>
      <c r="D262" t="s">
        <v>216</v>
      </c>
      <c r="E262" t="s">
        <v>220</v>
      </c>
      <c r="F262" t="s">
        <v>218</v>
      </c>
      <c r="G262" t="s">
        <v>218</v>
      </c>
    </row>
    <row r="263" spans="1:7" x14ac:dyDescent="0.25">
      <c r="A263">
        <v>262</v>
      </c>
      <c r="B263" t="s">
        <v>216</v>
      </c>
      <c r="C263" t="s">
        <v>218</v>
      </c>
      <c r="D263" t="s">
        <v>221</v>
      </c>
      <c r="E263" t="s">
        <v>216</v>
      </c>
      <c r="F263" t="s">
        <v>217</v>
      </c>
      <c r="G263" t="s">
        <v>221</v>
      </c>
    </row>
    <row r="264" spans="1:7" x14ac:dyDescent="0.25">
      <c r="A264">
        <v>263</v>
      </c>
      <c r="B264" t="s">
        <v>216</v>
      </c>
      <c r="C264" t="s">
        <v>220</v>
      </c>
      <c r="D264" t="s">
        <v>221</v>
      </c>
      <c r="E264" t="s">
        <v>216</v>
      </c>
      <c r="F264" t="s">
        <v>217</v>
      </c>
      <c r="G264" t="s">
        <v>216</v>
      </c>
    </row>
    <row r="265" spans="1:7" x14ac:dyDescent="0.25">
      <c r="A265">
        <v>264</v>
      </c>
      <c r="B265" t="s">
        <v>219</v>
      </c>
      <c r="C265" t="s">
        <v>217</v>
      </c>
      <c r="D265" t="s">
        <v>216</v>
      </c>
      <c r="E265" t="s">
        <v>217</v>
      </c>
      <c r="F265" t="s">
        <v>221</v>
      </c>
      <c r="G265" t="s">
        <v>221</v>
      </c>
    </row>
    <row r="266" spans="1:7" x14ac:dyDescent="0.25">
      <c r="A266">
        <v>265</v>
      </c>
      <c r="B266" t="s">
        <v>216</v>
      </c>
      <c r="C266" t="s">
        <v>218</v>
      </c>
      <c r="D266" t="s">
        <v>218</v>
      </c>
      <c r="E266" t="s">
        <v>221</v>
      </c>
      <c r="F266" t="s">
        <v>218</v>
      </c>
      <c r="G266" t="s">
        <v>217</v>
      </c>
    </row>
    <row r="267" spans="1:7" x14ac:dyDescent="0.25">
      <c r="A267">
        <v>266</v>
      </c>
      <c r="B267" t="s">
        <v>216</v>
      </c>
      <c r="C267" t="s">
        <v>219</v>
      </c>
      <c r="D267" t="s">
        <v>221</v>
      </c>
      <c r="E267" t="s">
        <v>216</v>
      </c>
      <c r="F267" t="s">
        <v>216</v>
      </c>
      <c r="G267" t="s">
        <v>216</v>
      </c>
    </row>
    <row r="268" spans="1:7" x14ac:dyDescent="0.25">
      <c r="A268">
        <v>267</v>
      </c>
      <c r="B268" t="s">
        <v>216</v>
      </c>
      <c r="C268" t="s">
        <v>217</v>
      </c>
      <c r="D268" t="s">
        <v>217</v>
      </c>
      <c r="E268" t="s">
        <v>218</v>
      </c>
      <c r="F268" t="s">
        <v>217</v>
      </c>
      <c r="G268" t="s">
        <v>221</v>
      </c>
    </row>
    <row r="269" spans="1:7" x14ac:dyDescent="0.25">
      <c r="A269">
        <v>268</v>
      </c>
      <c r="B269" t="s">
        <v>221</v>
      </c>
      <c r="C269" t="s">
        <v>220</v>
      </c>
      <c r="D269" t="s">
        <v>216</v>
      </c>
      <c r="E269" t="s">
        <v>221</v>
      </c>
      <c r="F269" t="s">
        <v>221</v>
      </c>
      <c r="G269" t="s">
        <v>221</v>
      </c>
    </row>
    <row r="270" spans="1:7" x14ac:dyDescent="0.25">
      <c r="A270">
        <v>269</v>
      </c>
      <c r="B270" t="s">
        <v>221</v>
      </c>
      <c r="C270" t="s">
        <v>218</v>
      </c>
      <c r="D270" t="s">
        <v>221</v>
      </c>
      <c r="E270" t="s">
        <v>219</v>
      </c>
      <c r="F270" t="s">
        <v>216</v>
      </c>
      <c r="G270" t="s">
        <v>221</v>
      </c>
    </row>
    <row r="271" spans="1:7" x14ac:dyDescent="0.25">
      <c r="A271">
        <v>270</v>
      </c>
      <c r="B271" t="s">
        <v>220</v>
      </c>
      <c r="C271" t="s">
        <v>216</v>
      </c>
      <c r="D271" t="s">
        <v>216</v>
      </c>
      <c r="E271" t="s">
        <v>217</v>
      </c>
      <c r="F271" t="s">
        <v>221</v>
      </c>
      <c r="G271" t="s">
        <v>221</v>
      </c>
    </row>
    <row r="272" spans="1:7" x14ac:dyDescent="0.25">
      <c r="A272">
        <v>271</v>
      </c>
      <c r="B272" t="s">
        <v>217</v>
      </c>
      <c r="C272" t="s">
        <v>217</v>
      </c>
      <c r="D272" t="s">
        <v>219</v>
      </c>
      <c r="E272" t="s">
        <v>221</v>
      </c>
      <c r="F272" t="s">
        <v>221</v>
      </c>
      <c r="G272" t="s">
        <v>221</v>
      </c>
    </row>
    <row r="273" spans="1:7" x14ac:dyDescent="0.25">
      <c r="A273">
        <v>272</v>
      </c>
      <c r="B273" t="s">
        <v>217</v>
      </c>
      <c r="C273" t="s">
        <v>220</v>
      </c>
      <c r="D273" t="s">
        <v>218</v>
      </c>
      <c r="E273" t="s">
        <v>221</v>
      </c>
      <c r="F273" t="s">
        <v>217</v>
      </c>
      <c r="G273" t="s">
        <v>221</v>
      </c>
    </row>
    <row r="274" spans="1:7" x14ac:dyDescent="0.25">
      <c r="A274">
        <v>273</v>
      </c>
      <c r="B274" t="s">
        <v>217</v>
      </c>
      <c r="C274" t="s">
        <v>221</v>
      </c>
      <c r="D274" t="s">
        <v>217</v>
      </c>
      <c r="E274" t="s">
        <v>221</v>
      </c>
      <c r="F274" t="s">
        <v>217</v>
      </c>
      <c r="G274" t="s">
        <v>221</v>
      </c>
    </row>
    <row r="275" spans="1:7" x14ac:dyDescent="0.25">
      <c r="A275">
        <v>274</v>
      </c>
      <c r="B275" t="s">
        <v>216</v>
      </c>
      <c r="C275" t="s">
        <v>220</v>
      </c>
      <c r="D275" t="s">
        <v>221</v>
      </c>
      <c r="E275" t="s">
        <v>221</v>
      </c>
      <c r="F275" t="s">
        <v>220</v>
      </c>
      <c r="G275" t="s">
        <v>221</v>
      </c>
    </row>
    <row r="276" spans="1:7" x14ac:dyDescent="0.25">
      <c r="A276">
        <v>275</v>
      </c>
      <c r="B276" t="s">
        <v>219</v>
      </c>
      <c r="C276" t="s">
        <v>217</v>
      </c>
      <c r="D276" t="s">
        <v>221</v>
      </c>
      <c r="E276" t="s">
        <v>220</v>
      </c>
      <c r="F276" t="s">
        <v>218</v>
      </c>
      <c r="G276" t="s">
        <v>221</v>
      </c>
    </row>
    <row r="277" spans="1:7" x14ac:dyDescent="0.25">
      <c r="A277">
        <v>276</v>
      </c>
      <c r="B277" t="s">
        <v>217</v>
      </c>
      <c r="C277" t="s">
        <v>219</v>
      </c>
      <c r="D277" t="s">
        <v>216</v>
      </c>
      <c r="E277" t="s">
        <v>216</v>
      </c>
      <c r="F277" t="s">
        <v>219</v>
      </c>
      <c r="G277" t="s">
        <v>221</v>
      </c>
    </row>
    <row r="278" spans="1:7" x14ac:dyDescent="0.25">
      <c r="A278">
        <v>277</v>
      </c>
      <c r="B278" t="s">
        <v>217</v>
      </c>
      <c r="C278" t="s">
        <v>216</v>
      </c>
      <c r="D278" t="s">
        <v>216</v>
      </c>
      <c r="E278" t="s">
        <v>218</v>
      </c>
      <c r="F278" t="s">
        <v>221</v>
      </c>
      <c r="G278" t="s">
        <v>221</v>
      </c>
    </row>
    <row r="279" spans="1:7" x14ac:dyDescent="0.25">
      <c r="A279">
        <v>278</v>
      </c>
      <c r="B279" t="s">
        <v>217</v>
      </c>
      <c r="C279" t="s">
        <v>217</v>
      </c>
      <c r="D279" t="s">
        <v>221</v>
      </c>
      <c r="E279" t="s">
        <v>216</v>
      </c>
      <c r="F279" t="s">
        <v>221</v>
      </c>
      <c r="G279" t="s">
        <v>218</v>
      </c>
    </row>
    <row r="280" spans="1:7" x14ac:dyDescent="0.25">
      <c r="A280">
        <v>279</v>
      </c>
      <c r="B280" t="s">
        <v>218</v>
      </c>
      <c r="C280" t="s">
        <v>218</v>
      </c>
      <c r="D280" t="s">
        <v>217</v>
      </c>
      <c r="E280" t="s">
        <v>221</v>
      </c>
      <c r="F280" t="s">
        <v>218</v>
      </c>
      <c r="G280" t="s">
        <v>221</v>
      </c>
    </row>
    <row r="281" spans="1:7" x14ac:dyDescent="0.25">
      <c r="A281">
        <v>280</v>
      </c>
      <c r="B281" t="s">
        <v>219</v>
      </c>
      <c r="C281" t="s">
        <v>216</v>
      </c>
      <c r="D281" t="s">
        <v>221</v>
      </c>
      <c r="E281" t="s">
        <v>220</v>
      </c>
      <c r="F281" t="s">
        <v>221</v>
      </c>
      <c r="G281" t="s">
        <v>221</v>
      </c>
    </row>
    <row r="282" spans="1:7" x14ac:dyDescent="0.25">
      <c r="A282">
        <v>281</v>
      </c>
      <c r="B282" t="s">
        <v>216</v>
      </c>
      <c r="C282" t="s">
        <v>219</v>
      </c>
      <c r="D282" t="s">
        <v>216</v>
      </c>
      <c r="E282" t="s">
        <v>221</v>
      </c>
      <c r="F282" t="s">
        <v>221</v>
      </c>
      <c r="G282" t="s">
        <v>218</v>
      </c>
    </row>
    <row r="283" spans="1:7" x14ac:dyDescent="0.25">
      <c r="A283">
        <v>282</v>
      </c>
      <c r="B283" t="s">
        <v>216</v>
      </c>
      <c r="C283" t="s">
        <v>216</v>
      </c>
      <c r="D283" t="s">
        <v>217</v>
      </c>
      <c r="E283" t="s">
        <v>217</v>
      </c>
      <c r="F283" t="s">
        <v>216</v>
      </c>
      <c r="G283" t="s">
        <v>221</v>
      </c>
    </row>
    <row r="284" spans="1:7" x14ac:dyDescent="0.25">
      <c r="A284">
        <v>283</v>
      </c>
      <c r="B284" t="s">
        <v>216</v>
      </c>
      <c r="C284" t="s">
        <v>216</v>
      </c>
      <c r="D284" t="s">
        <v>221</v>
      </c>
      <c r="E284" t="s">
        <v>221</v>
      </c>
      <c r="F284" t="s">
        <v>221</v>
      </c>
      <c r="G284" t="s">
        <v>217</v>
      </c>
    </row>
    <row r="285" spans="1:7" x14ac:dyDescent="0.25">
      <c r="A285">
        <v>284</v>
      </c>
      <c r="B285" t="s">
        <v>216</v>
      </c>
      <c r="C285" t="s">
        <v>216</v>
      </c>
      <c r="D285" t="s">
        <v>220</v>
      </c>
      <c r="E285" t="s">
        <v>217</v>
      </c>
      <c r="F285" t="s">
        <v>219</v>
      </c>
      <c r="G285" t="s">
        <v>219</v>
      </c>
    </row>
    <row r="286" spans="1:7" x14ac:dyDescent="0.25">
      <c r="A286">
        <v>285</v>
      </c>
      <c r="B286" t="s">
        <v>217</v>
      </c>
      <c r="C286" t="s">
        <v>216</v>
      </c>
      <c r="D286" t="s">
        <v>220</v>
      </c>
      <c r="E286" t="s">
        <v>221</v>
      </c>
      <c r="F286" t="s">
        <v>217</v>
      </c>
      <c r="G286" t="s">
        <v>218</v>
      </c>
    </row>
    <row r="287" spans="1:7" x14ac:dyDescent="0.25">
      <c r="A287">
        <v>286</v>
      </c>
      <c r="B287" t="s">
        <v>219</v>
      </c>
      <c r="C287" t="s">
        <v>217</v>
      </c>
      <c r="D287" t="s">
        <v>219</v>
      </c>
      <c r="E287" t="s">
        <v>221</v>
      </c>
      <c r="F287" t="s">
        <v>216</v>
      </c>
      <c r="G287" t="s">
        <v>218</v>
      </c>
    </row>
    <row r="288" spans="1:7" x14ac:dyDescent="0.25">
      <c r="A288">
        <v>287</v>
      </c>
      <c r="B288" t="s">
        <v>217</v>
      </c>
      <c r="C288" t="s">
        <v>216</v>
      </c>
      <c r="D288" t="s">
        <v>219</v>
      </c>
      <c r="E288" t="s">
        <v>218</v>
      </c>
      <c r="F288" t="s">
        <v>217</v>
      </c>
      <c r="G288" t="s">
        <v>216</v>
      </c>
    </row>
    <row r="289" spans="1:7" x14ac:dyDescent="0.25">
      <c r="A289">
        <v>288</v>
      </c>
      <c r="B289" t="s">
        <v>216</v>
      </c>
      <c r="C289" t="s">
        <v>216</v>
      </c>
      <c r="D289" t="s">
        <v>221</v>
      </c>
      <c r="E289" t="s">
        <v>221</v>
      </c>
      <c r="F289" t="s">
        <v>221</v>
      </c>
      <c r="G289" t="s">
        <v>221</v>
      </c>
    </row>
    <row r="290" spans="1:7" x14ac:dyDescent="0.25">
      <c r="A290">
        <v>289</v>
      </c>
      <c r="B290" t="s">
        <v>216</v>
      </c>
      <c r="C290" t="s">
        <v>218</v>
      </c>
      <c r="D290" t="s">
        <v>221</v>
      </c>
      <c r="E290" t="s">
        <v>216</v>
      </c>
      <c r="F290" t="s">
        <v>221</v>
      </c>
      <c r="G290" t="s">
        <v>221</v>
      </c>
    </row>
    <row r="291" spans="1:7" x14ac:dyDescent="0.25">
      <c r="A291">
        <v>290</v>
      </c>
      <c r="B291" t="s">
        <v>216</v>
      </c>
      <c r="C291" t="s">
        <v>216</v>
      </c>
      <c r="D291" t="s">
        <v>218</v>
      </c>
      <c r="E291" t="s">
        <v>218</v>
      </c>
      <c r="F291" t="s">
        <v>216</v>
      </c>
      <c r="G291" t="s">
        <v>220</v>
      </c>
    </row>
    <row r="292" spans="1:7" x14ac:dyDescent="0.25">
      <c r="A292">
        <v>291</v>
      </c>
      <c r="B292" t="s">
        <v>216</v>
      </c>
      <c r="C292" t="s">
        <v>219</v>
      </c>
      <c r="D292" t="s">
        <v>216</v>
      </c>
      <c r="E292" t="s">
        <v>216</v>
      </c>
      <c r="F292" t="s">
        <v>217</v>
      </c>
      <c r="G292" t="s">
        <v>221</v>
      </c>
    </row>
    <row r="293" spans="1:7" x14ac:dyDescent="0.25">
      <c r="A293">
        <v>292</v>
      </c>
      <c r="B293" t="s">
        <v>216</v>
      </c>
      <c r="C293" t="s">
        <v>217</v>
      </c>
      <c r="D293" t="s">
        <v>217</v>
      </c>
      <c r="E293" t="s">
        <v>219</v>
      </c>
      <c r="F293" t="s">
        <v>216</v>
      </c>
      <c r="G293" t="s">
        <v>218</v>
      </c>
    </row>
    <row r="294" spans="1:7" x14ac:dyDescent="0.25">
      <c r="A294">
        <v>293</v>
      </c>
      <c r="B294" t="s">
        <v>221</v>
      </c>
      <c r="C294" t="s">
        <v>220</v>
      </c>
      <c r="D294" t="s">
        <v>219</v>
      </c>
      <c r="E294" t="s">
        <v>221</v>
      </c>
      <c r="F294" t="s">
        <v>218</v>
      </c>
      <c r="G294" t="s">
        <v>218</v>
      </c>
    </row>
    <row r="295" spans="1:7" x14ac:dyDescent="0.25">
      <c r="A295">
        <v>294</v>
      </c>
      <c r="B295" t="s">
        <v>216</v>
      </c>
      <c r="C295" t="s">
        <v>217</v>
      </c>
      <c r="D295" t="s">
        <v>217</v>
      </c>
      <c r="E295" t="s">
        <v>217</v>
      </c>
      <c r="F295" t="s">
        <v>216</v>
      </c>
      <c r="G295" t="s">
        <v>220</v>
      </c>
    </row>
    <row r="296" spans="1:7" x14ac:dyDescent="0.25">
      <c r="A296">
        <v>295</v>
      </c>
      <c r="B296" t="s">
        <v>220</v>
      </c>
      <c r="C296" t="s">
        <v>216</v>
      </c>
      <c r="D296" t="s">
        <v>217</v>
      </c>
      <c r="E296" t="s">
        <v>218</v>
      </c>
      <c r="F296" t="s">
        <v>221</v>
      </c>
      <c r="G296" t="s">
        <v>221</v>
      </c>
    </row>
    <row r="297" spans="1:7" x14ac:dyDescent="0.25">
      <c r="A297">
        <v>296</v>
      </c>
      <c r="B297" t="s">
        <v>217</v>
      </c>
      <c r="C297" t="s">
        <v>221</v>
      </c>
      <c r="D297" t="s">
        <v>219</v>
      </c>
      <c r="E297" t="s">
        <v>220</v>
      </c>
      <c r="F297" t="s">
        <v>216</v>
      </c>
      <c r="G297" t="s">
        <v>216</v>
      </c>
    </row>
    <row r="298" spans="1:7" x14ac:dyDescent="0.25">
      <c r="A298">
        <v>297</v>
      </c>
      <c r="B298" t="s">
        <v>217</v>
      </c>
      <c r="C298" t="s">
        <v>217</v>
      </c>
      <c r="D298" t="s">
        <v>216</v>
      </c>
      <c r="E298" t="s">
        <v>221</v>
      </c>
      <c r="F298" t="s">
        <v>216</v>
      </c>
      <c r="G298" t="s">
        <v>221</v>
      </c>
    </row>
    <row r="299" spans="1:7" x14ac:dyDescent="0.25">
      <c r="A299">
        <v>298</v>
      </c>
      <c r="B299" t="s">
        <v>220</v>
      </c>
      <c r="C299" t="s">
        <v>216</v>
      </c>
      <c r="D299" t="s">
        <v>216</v>
      </c>
      <c r="E299" t="s">
        <v>216</v>
      </c>
      <c r="F299" t="s">
        <v>218</v>
      </c>
      <c r="G299" t="s">
        <v>218</v>
      </c>
    </row>
    <row r="300" spans="1:7" x14ac:dyDescent="0.25">
      <c r="A300">
        <v>299</v>
      </c>
      <c r="B300" t="s">
        <v>217</v>
      </c>
      <c r="C300" t="s">
        <v>218</v>
      </c>
      <c r="D300" t="s">
        <v>221</v>
      </c>
      <c r="E300" t="s">
        <v>221</v>
      </c>
      <c r="F300" t="s">
        <v>221</v>
      </c>
      <c r="G300" t="s">
        <v>221</v>
      </c>
    </row>
    <row r="301" spans="1:7" x14ac:dyDescent="0.25">
      <c r="A301">
        <v>300</v>
      </c>
      <c r="B301" t="s">
        <v>216</v>
      </c>
      <c r="C301" t="s">
        <v>216</v>
      </c>
      <c r="D301" t="s">
        <v>219</v>
      </c>
      <c r="E301" t="s">
        <v>221</v>
      </c>
      <c r="F301" t="s">
        <v>218</v>
      </c>
      <c r="G301" t="s">
        <v>221</v>
      </c>
    </row>
    <row r="302" spans="1:7" x14ac:dyDescent="0.25">
      <c r="A302">
        <v>301</v>
      </c>
      <c r="B302" t="s">
        <v>217</v>
      </c>
      <c r="C302" t="s">
        <v>217</v>
      </c>
      <c r="D302" t="s">
        <v>217</v>
      </c>
      <c r="E302" t="s">
        <v>216</v>
      </c>
      <c r="F302" t="s">
        <v>217</v>
      </c>
      <c r="G302" t="s">
        <v>221</v>
      </c>
    </row>
    <row r="303" spans="1:7" x14ac:dyDescent="0.25">
      <c r="A303">
        <v>302</v>
      </c>
      <c r="B303" t="s">
        <v>216</v>
      </c>
      <c r="C303" t="s">
        <v>219</v>
      </c>
      <c r="D303" t="s">
        <v>216</v>
      </c>
      <c r="E303" t="s">
        <v>220</v>
      </c>
      <c r="F303" t="s">
        <v>221</v>
      </c>
      <c r="G303" t="s">
        <v>221</v>
      </c>
    </row>
    <row r="304" spans="1:7" x14ac:dyDescent="0.25">
      <c r="A304">
        <v>303</v>
      </c>
      <c r="B304" t="s">
        <v>216</v>
      </c>
      <c r="C304" t="s">
        <v>216</v>
      </c>
      <c r="D304" t="s">
        <v>216</v>
      </c>
      <c r="E304" t="s">
        <v>220</v>
      </c>
      <c r="F304" t="s">
        <v>220</v>
      </c>
      <c r="G304" t="s">
        <v>221</v>
      </c>
    </row>
    <row r="305" spans="1:7" x14ac:dyDescent="0.25">
      <c r="A305">
        <v>304</v>
      </c>
      <c r="B305" t="s">
        <v>219</v>
      </c>
      <c r="C305" t="s">
        <v>220</v>
      </c>
      <c r="D305" t="s">
        <v>216</v>
      </c>
      <c r="E305" t="s">
        <v>221</v>
      </c>
      <c r="F305" t="s">
        <v>219</v>
      </c>
      <c r="G305" t="s">
        <v>221</v>
      </c>
    </row>
    <row r="306" spans="1:7" x14ac:dyDescent="0.25">
      <c r="A306">
        <v>305</v>
      </c>
      <c r="B306" t="s">
        <v>218</v>
      </c>
      <c r="C306" t="s">
        <v>219</v>
      </c>
      <c r="D306" t="s">
        <v>218</v>
      </c>
      <c r="E306" t="s">
        <v>221</v>
      </c>
      <c r="F306" t="s">
        <v>217</v>
      </c>
      <c r="G306" t="s">
        <v>217</v>
      </c>
    </row>
    <row r="307" spans="1:7" x14ac:dyDescent="0.25">
      <c r="A307">
        <v>306</v>
      </c>
      <c r="B307" t="s">
        <v>216</v>
      </c>
      <c r="C307" t="s">
        <v>221</v>
      </c>
      <c r="D307" t="s">
        <v>218</v>
      </c>
      <c r="E307" t="s">
        <v>218</v>
      </c>
      <c r="F307" t="s">
        <v>221</v>
      </c>
      <c r="G307" t="s">
        <v>217</v>
      </c>
    </row>
    <row r="308" spans="1:7" x14ac:dyDescent="0.25">
      <c r="A308">
        <v>307</v>
      </c>
      <c r="B308" t="s">
        <v>216</v>
      </c>
      <c r="C308" t="s">
        <v>217</v>
      </c>
      <c r="D308" t="s">
        <v>216</v>
      </c>
      <c r="E308" t="s">
        <v>221</v>
      </c>
      <c r="F308" t="s">
        <v>217</v>
      </c>
      <c r="G308" t="s">
        <v>221</v>
      </c>
    </row>
    <row r="309" spans="1:7" x14ac:dyDescent="0.25">
      <c r="A309">
        <v>308</v>
      </c>
      <c r="B309" t="s">
        <v>217</v>
      </c>
      <c r="C309" t="s">
        <v>220</v>
      </c>
      <c r="D309" t="s">
        <v>221</v>
      </c>
      <c r="E309" t="s">
        <v>219</v>
      </c>
      <c r="F309" t="s">
        <v>221</v>
      </c>
      <c r="G309" t="s">
        <v>221</v>
      </c>
    </row>
    <row r="310" spans="1:7" x14ac:dyDescent="0.25">
      <c r="A310">
        <v>309</v>
      </c>
      <c r="B310" t="s">
        <v>218</v>
      </c>
      <c r="C310" t="s">
        <v>219</v>
      </c>
      <c r="D310" t="s">
        <v>216</v>
      </c>
      <c r="E310" t="s">
        <v>221</v>
      </c>
      <c r="F310" t="s">
        <v>221</v>
      </c>
      <c r="G310" t="s">
        <v>221</v>
      </c>
    </row>
    <row r="311" spans="1:7" x14ac:dyDescent="0.25">
      <c r="A311">
        <v>310</v>
      </c>
      <c r="B311" t="s">
        <v>217</v>
      </c>
      <c r="C311" t="s">
        <v>221</v>
      </c>
      <c r="D311" t="s">
        <v>216</v>
      </c>
      <c r="E311" t="s">
        <v>219</v>
      </c>
      <c r="F311" t="s">
        <v>221</v>
      </c>
      <c r="G311" t="s">
        <v>216</v>
      </c>
    </row>
    <row r="312" spans="1:7" x14ac:dyDescent="0.25">
      <c r="A312">
        <v>311</v>
      </c>
      <c r="B312" t="s">
        <v>218</v>
      </c>
      <c r="C312" t="s">
        <v>218</v>
      </c>
      <c r="D312" t="s">
        <v>217</v>
      </c>
      <c r="E312" t="s">
        <v>218</v>
      </c>
      <c r="F312" t="s">
        <v>221</v>
      </c>
      <c r="G312" t="s">
        <v>220</v>
      </c>
    </row>
    <row r="313" spans="1:7" x14ac:dyDescent="0.25">
      <c r="A313">
        <v>312</v>
      </c>
      <c r="B313" t="s">
        <v>216</v>
      </c>
      <c r="C313" t="s">
        <v>221</v>
      </c>
      <c r="D313" t="s">
        <v>218</v>
      </c>
      <c r="E313" t="s">
        <v>219</v>
      </c>
      <c r="F313" t="s">
        <v>221</v>
      </c>
      <c r="G313" t="s">
        <v>218</v>
      </c>
    </row>
    <row r="314" spans="1:7" x14ac:dyDescent="0.25">
      <c r="A314">
        <v>313</v>
      </c>
      <c r="B314" t="s">
        <v>217</v>
      </c>
      <c r="C314" t="s">
        <v>219</v>
      </c>
      <c r="D314" t="s">
        <v>216</v>
      </c>
      <c r="E314" t="s">
        <v>216</v>
      </c>
      <c r="F314" t="s">
        <v>219</v>
      </c>
      <c r="G314" t="s">
        <v>221</v>
      </c>
    </row>
    <row r="315" spans="1:7" x14ac:dyDescent="0.25">
      <c r="A315">
        <v>314</v>
      </c>
      <c r="B315" t="s">
        <v>217</v>
      </c>
      <c r="C315" t="s">
        <v>218</v>
      </c>
      <c r="D315" t="s">
        <v>216</v>
      </c>
      <c r="E315" t="s">
        <v>218</v>
      </c>
      <c r="F315" t="s">
        <v>221</v>
      </c>
      <c r="G315" t="s">
        <v>216</v>
      </c>
    </row>
    <row r="316" spans="1:7" x14ac:dyDescent="0.25">
      <c r="A316">
        <v>315</v>
      </c>
      <c r="B316" t="s">
        <v>220</v>
      </c>
      <c r="C316" t="s">
        <v>219</v>
      </c>
      <c r="D316" t="s">
        <v>216</v>
      </c>
      <c r="E316" t="s">
        <v>217</v>
      </c>
      <c r="F316" t="s">
        <v>221</v>
      </c>
      <c r="G316" t="s">
        <v>218</v>
      </c>
    </row>
    <row r="317" spans="1:7" x14ac:dyDescent="0.25">
      <c r="A317">
        <v>316</v>
      </c>
      <c r="B317" t="s">
        <v>216</v>
      </c>
      <c r="C317" t="s">
        <v>220</v>
      </c>
      <c r="D317" t="s">
        <v>217</v>
      </c>
      <c r="E317" t="s">
        <v>220</v>
      </c>
      <c r="F317" t="s">
        <v>216</v>
      </c>
      <c r="G317" t="s">
        <v>217</v>
      </c>
    </row>
    <row r="318" spans="1:7" x14ac:dyDescent="0.25">
      <c r="A318">
        <v>317</v>
      </c>
      <c r="B318" t="s">
        <v>218</v>
      </c>
      <c r="C318" t="s">
        <v>218</v>
      </c>
      <c r="D318" t="s">
        <v>220</v>
      </c>
      <c r="E318" t="s">
        <v>217</v>
      </c>
      <c r="F318" t="s">
        <v>216</v>
      </c>
      <c r="G318" t="s">
        <v>221</v>
      </c>
    </row>
    <row r="319" spans="1:7" x14ac:dyDescent="0.25">
      <c r="A319">
        <v>318</v>
      </c>
      <c r="B319" t="s">
        <v>219</v>
      </c>
      <c r="C319" t="s">
        <v>216</v>
      </c>
      <c r="D319" t="s">
        <v>216</v>
      </c>
      <c r="E319" t="s">
        <v>216</v>
      </c>
      <c r="F319" t="s">
        <v>216</v>
      </c>
      <c r="G319" t="s">
        <v>221</v>
      </c>
    </row>
    <row r="320" spans="1:7" x14ac:dyDescent="0.25">
      <c r="A320">
        <v>319</v>
      </c>
      <c r="B320" t="s">
        <v>216</v>
      </c>
      <c r="C320" t="s">
        <v>218</v>
      </c>
      <c r="D320" t="s">
        <v>217</v>
      </c>
      <c r="E320" t="s">
        <v>216</v>
      </c>
      <c r="F320" t="s">
        <v>219</v>
      </c>
      <c r="G320" t="s">
        <v>217</v>
      </c>
    </row>
    <row r="321" spans="1:7" x14ac:dyDescent="0.25">
      <c r="A321">
        <v>320</v>
      </c>
      <c r="B321" t="s">
        <v>216</v>
      </c>
      <c r="C321" t="s">
        <v>216</v>
      </c>
      <c r="D321" t="s">
        <v>218</v>
      </c>
      <c r="E321" t="s">
        <v>221</v>
      </c>
      <c r="F321" t="s">
        <v>216</v>
      </c>
      <c r="G321" t="s">
        <v>218</v>
      </c>
    </row>
    <row r="322" spans="1:7" x14ac:dyDescent="0.25">
      <c r="A322">
        <v>321</v>
      </c>
      <c r="B322" t="s">
        <v>218</v>
      </c>
      <c r="C322" t="s">
        <v>217</v>
      </c>
      <c r="D322" t="s">
        <v>218</v>
      </c>
      <c r="E322" t="s">
        <v>218</v>
      </c>
      <c r="F322" t="s">
        <v>218</v>
      </c>
      <c r="G322" t="s">
        <v>217</v>
      </c>
    </row>
    <row r="323" spans="1:7" x14ac:dyDescent="0.25">
      <c r="A323">
        <v>322</v>
      </c>
      <c r="B323" t="s">
        <v>220</v>
      </c>
      <c r="C323" t="s">
        <v>217</v>
      </c>
      <c r="D323" t="s">
        <v>216</v>
      </c>
      <c r="E323" t="s">
        <v>221</v>
      </c>
      <c r="F323" t="s">
        <v>217</v>
      </c>
      <c r="G323" t="s">
        <v>221</v>
      </c>
    </row>
    <row r="324" spans="1:7" x14ac:dyDescent="0.25">
      <c r="A324">
        <v>323</v>
      </c>
      <c r="B324" t="s">
        <v>218</v>
      </c>
      <c r="C324" t="s">
        <v>217</v>
      </c>
      <c r="D324" t="s">
        <v>217</v>
      </c>
      <c r="E324" t="s">
        <v>217</v>
      </c>
      <c r="F324" t="s">
        <v>221</v>
      </c>
      <c r="G324" t="s">
        <v>221</v>
      </c>
    </row>
    <row r="325" spans="1:7" x14ac:dyDescent="0.25">
      <c r="A325">
        <v>324</v>
      </c>
      <c r="B325" t="s">
        <v>220</v>
      </c>
      <c r="C325" t="s">
        <v>216</v>
      </c>
      <c r="D325" t="s">
        <v>217</v>
      </c>
      <c r="E325" t="s">
        <v>216</v>
      </c>
      <c r="F325" t="s">
        <v>221</v>
      </c>
      <c r="G325" t="s">
        <v>218</v>
      </c>
    </row>
    <row r="326" spans="1:7" x14ac:dyDescent="0.25">
      <c r="A326">
        <v>325</v>
      </c>
      <c r="B326" t="s">
        <v>216</v>
      </c>
      <c r="C326" t="s">
        <v>216</v>
      </c>
      <c r="D326" t="s">
        <v>217</v>
      </c>
      <c r="E326" t="s">
        <v>221</v>
      </c>
      <c r="F326" t="s">
        <v>216</v>
      </c>
      <c r="G326" t="s">
        <v>219</v>
      </c>
    </row>
    <row r="327" spans="1:7" x14ac:dyDescent="0.25">
      <c r="A327">
        <v>326</v>
      </c>
      <c r="B327" t="s">
        <v>218</v>
      </c>
      <c r="C327" t="s">
        <v>217</v>
      </c>
      <c r="D327" t="s">
        <v>216</v>
      </c>
      <c r="E327" t="s">
        <v>218</v>
      </c>
      <c r="F327" t="s">
        <v>219</v>
      </c>
      <c r="G327" t="s">
        <v>221</v>
      </c>
    </row>
    <row r="328" spans="1:7" x14ac:dyDescent="0.25">
      <c r="A328">
        <v>327</v>
      </c>
      <c r="B328" t="s">
        <v>219</v>
      </c>
      <c r="C328" t="s">
        <v>216</v>
      </c>
      <c r="D328" t="s">
        <v>216</v>
      </c>
      <c r="E328" t="s">
        <v>217</v>
      </c>
      <c r="F328" t="s">
        <v>221</v>
      </c>
      <c r="G328" t="s">
        <v>216</v>
      </c>
    </row>
    <row r="329" spans="1:7" x14ac:dyDescent="0.25">
      <c r="A329">
        <v>328</v>
      </c>
      <c r="B329" t="s">
        <v>216</v>
      </c>
      <c r="C329" t="s">
        <v>216</v>
      </c>
      <c r="D329" t="s">
        <v>218</v>
      </c>
      <c r="E329" t="s">
        <v>221</v>
      </c>
      <c r="F329" t="s">
        <v>220</v>
      </c>
      <c r="G329" t="s">
        <v>216</v>
      </c>
    </row>
    <row r="330" spans="1:7" x14ac:dyDescent="0.25">
      <c r="A330">
        <v>329</v>
      </c>
      <c r="B330" t="s">
        <v>221</v>
      </c>
      <c r="C330" t="s">
        <v>221</v>
      </c>
      <c r="D330" t="s">
        <v>218</v>
      </c>
      <c r="E330" t="s">
        <v>221</v>
      </c>
      <c r="F330" t="s">
        <v>221</v>
      </c>
      <c r="G330" t="s">
        <v>217</v>
      </c>
    </row>
    <row r="331" spans="1:7" x14ac:dyDescent="0.25">
      <c r="A331">
        <v>330</v>
      </c>
      <c r="B331" t="s">
        <v>216</v>
      </c>
      <c r="C331" t="s">
        <v>216</v>
      </c>
      <c r="D331" t="s">
        <v>216</v>
      </c>
      <c r="E331" t="s">
        <v>221</v>
      </c>
      <c r="F331" t="s">
        <v>221</v>
      </c>
      <c r="G331" t="s">
        <v>219</v>
      </c>
    </row>
    <row r="332" spans="1:7" x14ac:dyDescent="0.25">
      <c r="A332">
        <v>331</v>
      </c>
      <c r="B332" t="s">
        <v>219</v>
      </c>
      <c r="C332" t="s">
        <v>216</v>
      </c>
      <c r="D332" t="s">
        <v>221</v>
      </c>
      <c r="E332" t="s">
        <v>218</v>
      </c>
      <c r="F332" t="s">
        <v>221</v>
      </c>
      <c r="G332" t="s">
        <v>217</v>
      </c>
    </row>
    <row r="333" spans="1:7" x14ac:dyDescent="0.25">
      <c r="A333">
        <v>332</v>
      </c>
      <c r="B333" t="s">
        <v>220</v>
      </c>
      <c r="C333" t="s">
        <v>221</v>
      </c>
      <c r="D333" t="s">
        <v>217</v>
      </c>
      <c r="E333" t="s">
        <v>216</v>
      </c>
      <c r="F333" t="s">
        <v>221</v>
      </c>
      <c r="G333" t="s">
        <v>221</v>
      </c>
    </row>
    <row r="334" spans="1:7" x14ac:dyDescent="0.25">
      <c r="A334">
        <v>333</v>
      </c>
      <c r="B334" t="s">
        <v>217</v>
      </c>
      <c r="C334" t="s">
        <v>216</v>
      </c>
      <c r="D334" t="s">
        <v>217</v>
      </c>
      <c r="E334" t="s">
        <v>216</v>
      </c>
      <c r="F334" t="s">
        <v>221</v>
      </c>
      <c r="G334" t="s">
        <v>217</v>
      </c>
    </row>
    <row r="335" spans="1:7" x14ac:dyDescent="0.25">
      <c r="A335">
        <v>334</v>
      </c>
      <c r="B335" t="s">
        <v>217</v>
      </c>
      <c r="C335" t="s">
        <v>217</v>
      </c>
      <c r="D335" t="s">
        <v>216</v>
      </c>
      <c r="E335" t="s">
        <v>216</v>
      </c>
      <c r="F335" t="s">
        <v>221</v>
      </c>
      <c r="G335" t="s">
        <v>221</v>
      </c>
    </row>
    <row r="336" spans="1:7" x14ac:dyDescent="0.25">
      <c r="A336">
        <v>335</v>
      </c>
      <c r="B336" t="s">
        <v>217</v>
      </c>
      <c r="C336" t="s">
        <v>221</v>
      </c>
      <c r="D336" t="s">
        <v>217</v>
      </c>
      <c r="E336" t="s">
        <v>221</v>
      </c>
      <c r="F336" t="s">
        <v>221</v>
      </c>
      <c r="G336" t="s">
        <v>221</v>
      </c>
    </row>
    <row r="337" spans="1:7" x14ac:dyDescent="0.25">
      <c r="A337">
        <v>336</v>
      </c>
      <c r="B337" t="s">
        <v>218</v>
      </c>
      <c r="C337" t="s">
        <v>220</v>
      </c>
      <c r="D337" t="s">
        <v>220</v>
      </c>
      <c r="E337" t="s">
        <v>217</v>
      </c>
      <c r="F337" t="s">
        <v>216</v>
      </c>
      <c r="G337" t="s">
        <v>221</v>
      </c>
    </row>
    <row r="338" spans="1:7" x14ac:dyDescent="0.25">
      <c r="A338">
        <v>337</v>
      </c>
      <c r="B338" t="s">
        <v>216</v>
      </c>
      <c r="C338" t="s">
        <v>217</v>
      </c>
      <c r="D338" t="s">
        <v>217</v>
      </c>
      <c r="E338" t="s">
        <v>218</v>
      </c>
      <c r="F338" t="s">
        <v>217</v>
      </c>
      <c r="G338" t="s">
        <v>216</v>
      </c>
    </row>
    <row r="339" spans="1:7" x14ac:dyDescent="0.25">
      <c r="A339">
        <v>338</v>
      </c>
      <c r="B339" t="s">
        <v>216</v>
      </c>
      <c r="C339" t="s">
        <v>221</v>
      </c>
      <c r="D339" t="s">
        <v>221</v>
      </c>
      <c r="E339" t="s">
        <v>216</v>
      </c>
      <c r="F339" t="s">
        <v>221</v>
      </c>
      <c r="G339" t="s">
        <v>221</v>
      </c>
    </row>
    <row r="340" spans="1:7" x14ac:dyDescent="0.25">
      <c r="A340">
        <v>339</v>
      </c>
      <c r="B340" t="s">
        <v>216</v>
      </c>
      <c r="C340" t="s">
        <v>217</v>
      </c>
      <c r="D340" t="s">
        <v>219</v>
      </c>
      <c r="E340" t="s">
        <v>217</v>
      </c>
      <c r="F340" t="s">
        <v>219</v>
      </c>
      <c r="G340" t="s">
        <v>217</v>
      </c>
    </row>
    <row r="341" spans="1:7" x14ac:dyDescent="0.25">
      <c r="A341">
        <v>340</v>
      </c>
      <c r="B341" t="s">
        <v>216</v>
      </c>
      <c r="C341" t="s">
        <v>216</v>
      </c>
      <c r="D341" t="s">
        <v>216</v>
      </c>
      <c r="E341" t="s">
        <v>221</v>
      </c>
      <c r="F341" t="s">
        <v>218</v>
      </c>
      <c r="G341" t="s">
        <v>217</v>
      </c>
    </row>
    <row r="342" spans="1:7" x14ac:dyDescent="0.25">
      <c r="A342">
        <v>341</v>
      </c>
      <c r="B342" t="s">
        <v>216</v>
      </c>
      <c r="C342" t="s">
        <v>216</v>
      </c>
      <c r="D342" t="s">
        <v>216</v>
      </c>
      <c r="E342" t="s">
        <v>219</v>
      </c>
      <c r="F342" t="s">
        <v>221</v>
      </c>
      <c r="G342" t="s">
        <v>221</v>
      </c>
    </row>
    <row r="343" spans="1:7" x14ac:dyDescent="0.25">
      <c r="A343">
        <v>342</v>
      </c>
      <c r="B343" t="s">
        <v>216</v>
      </c>
      <c r="C343" t="s">
        <v>218</v>
      </c>
      <c r="D343" t="s">
        <v>217</v>
      </c>
      <c r="E343" t="s">
        <v>221</v>
      </c>
      <c r="F343" t="s">
        <v>217</v>
      </c>
      <c r="G343" t="s">
        <v>221</v>
      </c>
    </row>
    <row r="344" spans="1:7" x14ac:dyDescent="0.25">
      <c r="A344">
        <v>343</v>
      </c>
      <c r="B344" t="s">
        <v>218</v>
      </c>
      <c r="C344" t="s">
        <v>216</v>
      </c>
      <c r="D344" t="s">
        <v>216</v>
      </c>
      <c r="E344" t="s">
        <v>217</v>
      </c>
      <c r="F344" t="s">
        <v>218</v>
      </c>
      <c r="G344" t="s">
        <v>217</v>
      </c>
    </row>
    <row r="345" spans="1:7" x14ac:dyDescent="0.25">
      <c r="A345">
        <v>344</v>
      </c>
      <c r="B345" t="s">
        <v>216</v>
      </c>
      <c r="C345" t="s">
        <v>217</v>
      </c>
      <c r="D345" t="s">
        <v>221</v>
      </c>
      <c r="E345" t="s">
        <v>216</v>
      </c>
      <c r="F345" t="s">
        <v>221</v>
      </c>
      <c r="G345" t="s">
        <v>221</v>
      </c>
    </row>
    <row r="346" spans="1:7" x14ac:dyDescent="0.25">
      <c r="A346">
        <v>345</v>
      </c>
      <c r="B346" t="s">
        <v>216</v>
      </c>
      <c r="C346" t="s">
        <v>218</v>
      </c>
      <c r="D346" t="s">
        <v>217</v>
      </c>
      <c r="E346" t="s">
        <v>217</v>
      </c>
      <c r="F346" t="s">
        <v>221</v>
      </c>
      <c r="G346" t="s">
        <v>216</v>
      </c>
    </row>
    <row r="347" spans="1:7" x14ac:dyDescent="0.25">
      <c r="A347">
        <v>346</v>
      </c>
      <c r="B347" t="s">
        <v>220</v>
      </c>
      <c r="C347" t="s">
        <v>219</v>
      </c>
      <c r="D347" t="s">
        <v>216</v>
      </c>
      <c r="E347" t="s">
        <v>219</v>
      </c>
      <c r="F347" t="s">
        <v>219</v>
      </c>
      <c r="G347" t="s">
        <v>217</v>
      </c>
    </row>
    <row r="348" spans="1:7" x14ac:dyDescent="0.25">
      <c r="A348">
        <v>347</v>
      </c>
      <c r="B348" t="s">
        <v>218</v>
      </c>
      <c r="C348" t="s">
        <v>221</v>
      </c>
      <c r="D348" t="s">
        <v>221</v>
      </c>
      <c r="E348" t="s">
        <v>216</v>
      </c>
      <c r="F348" t="s">
        <v>216</v>
      </c>
      <c r="G348" t="s">
        <v>221</v>
      </c>
    </row>
    <row r="349" spans="1:7" x14ac:dyDescent="0.25">
      <c r="A349">
        <v>348</v>
      </c>
      <c r="B349" t="s">
        <v>218</v>
      </c>
      <c r="C349" t="s">
        <v>219</v>
      </c>
      <c r="D349" t="s">
        <v>218</v>
      </c>
      <c r="E349" t="s">
        <v>221</v>
      </c>
      <c r="F349" t="s">
        <v>216</v>
      </c>
      <c r="G349" t="s">
        <v>216</v>
      </c>
    </row>
    <row r="350" spans="1:7" x14ac:dyDescent="0.25">
      <c r="A350">
        <v>349</v>
      </c>
      <c r="B350" t="s">
        <v>219</v>
      </c>
      <c r="C350" t="s">
        <v>218</v>
      </c>
      <c r="D350" t="s">
        <v>216</v>
      </c>
      <c r="E350" t="s">
        <v>217</v>
      </c>
      <c r="F350" t="s">
        <v>220</v>
      </c>
      <c r="G350" t="s">
        <v>218</v>
      </c>
    </row>
    <row r="351" spans="1:7" x14ac:dyDescent="0.25">
      <c r="A351">
        <v>350</v>
      </c>
      <c r="B351" t="s">
        <v>216</v>
      </c>
      <c r="C351" t="s">
        <v>220</v>
      </c>
      <c r="D351" t="s">
        <v>216</v>
      </c>
      <c r="E351" t="s">
        <v>216</v>
      </c>
      <c r="F351" t="s">
        <v>217</v>
      </c>
      <c r="G351" t="s">
        <v>221</v>
      </c>
    </row>
    <row r="352" spans="1:7" x14ac:dyDescent="0.25">
      <c r="A352">
        <v>351</v>
      </c>
      <c r="B352" t="s">
        <v>218</v>
      </c>
      <c r="C352" t="s">
        <v>218</v>
      </c>
      <c r="D352" t="s">
        <v>217</v>
      </c>
      <c r="E352" t="s">
        <v>217</v>
      </c>
      <c r="F352" t="s">
        <v>216</v>
      </c>
      <c r="G352" t="s">
        <v>221</v>
      </c>
    </row>
    <row r="353" spans="1:7" x14ac:dyDescent="0.25">
      <c r="A353">
        <v>352</v>
      </c>
      <c r="B353" t="s">
        <v>217</v>
      </c>
      <c r="C353" t="s">
        <v>217</v>
      </c>
      <c r="D353" t="s">
        <v>221</v>
      </c>
      <c r="E353" t="s">
        <v>221</v>
      </c>
      <c r="F353" t="s">
        <v>221</v>
      </c>
      <c r="G353" t="s">
        <v>219</v>
      </c>
    </row>
    <row r="354" spans="1:7" x14ac:dyDescent="0.25">
      <c r="A354">
        <v>353</v>
      </c>
      <c r="B354" t="s">
        <v>217</v>
      </c>
      <c r="C354" t="s">
        <v>216</v>
      </c>
      <c r="D354" t="s">
        <v>221</v>
      </c>
      <c r="E354" t="s">
        <v>221</v>
      </c>
      <c r="F354" t="s">
        <v>219</v>
      </c>
      <c r="G354" t="s">
        <v>221</v>
      </c>
    </row>
    <row r="355" spans="1:7" x14ac:dyDescent="0.25">
      <c r="A355">
        <v>354</v>
      </c>
      <c r="B355" t="s">
        <v>218</v>
      </c>
      <c r="C355" t="s">
        <v>218</v>
      </c>
      <c r="D355" t="s">
        <v>216</v>
      </c>
      <c r="E355" t="s">
        <v>218</v>
      </c>
      <c r="F355" t="s">
        <v>218</v>
      </c>
      <c r="G355" t="s">
        <v>217</v>
      </c>
    </row>
    <row r="356" spans="1:7" x14ac:dyDescent="0.25">
      <c r="A356">
        <v>355</v>
      </c>
      <c r="B356" t="s">
        <v>216</v>
      </c>
      <c r="C356" t="s">
        <v>216</v>
      </c>
      <c r="D356" t="s">
        <v>216</v>
      </c>
      <c r="E356" t="s">
        <v>218</v>
      </c>
      <c r="F356" t="s">
        <v>221</v>
      </c>
      <c r="G356" t="s">
        <v>221</v>
      </c>
    </row>
    <row r="357" spans="1:7" x14ac:dyDescent="0.25">
      <c r="A357">
        <v>356</v>
      </c>
      <c r="B357" t="s">
        <v>217</v>
      </c>
      <c r="C357" t="s">
        <v>216</v>
      </c>
      <c r="D357" t="s">
        <v>216</v>
      </c>
      <c r="E357" t="s">
        <v>221</v>
      </c>
      <c r="F357" t="s">
        <v>219</v>
      </c>
      <c r="G357" t="s">
        <v>218</v>
      </c>
    </row>
    <row r="358" spans="1:7" x14ac:dyDescent="0.25">
      <c r="A358">
        <v>357</v>
      </c>
      <c r="B358" t="s">
        <v>216</v>
      </c>
      <c r="C358" t="s">
        <v>216</v>
      </c>
      <c r="D358" t="s">
        <v>219</v>
      </c>
      <c r="E358" t="s">
        <v>220</v>
      </c>
      <c r="F358" t="s">
        <v>221</v>
      </c>
      <c r="G358" t="s">
        <v>217</v>
      </c>
    </row>
    <row r="359" spans="1:7" x14ac:dyDescent="0.25">
      <c r="A359">
        <v>358</v>
      </c>
      <c r="B359" t="s">
        <v>216</v>
      </c>
      <c r="C359" t="s">
        <v>217</v>
      </c>
      <c r="D359" t="s">
        <v>221</v>
      </c>
      <c r="E359" t="s">
        <v>216</v>
      </c>
      <c r="F359" t="s">
        <v>220</v>
      </c>
      <c r="G359" t="s">
        <v>221</v>
      </c>
    </row>
    <row r="360" spans="1:7" x14ac:dyDescent="0.25">
      <c r="A360">
        <v>359</v>
      </c>
      <c r="B360" t="s">
        <v>218</v>
      </c>
      <c r="C360" t="s">
        <v>218</v>
      </c>
      <c r="D360" t="s">
        <v>219</v>
      </c>
      <c r="E360" t="s">
        <v>217</v>
      </c>
      <c r="F360" t="s">
        <v>218</v>
      </c>
      <c r="G360" t="s">
        <v>221</v>
      </c>
    </row>
    <row r="361" spans="1:7" x14ac:dyDescent="0.25">
      <c r="A361">
        <v>360</v>
      </c>
      <c r="B361" t="s">
        <v>217</v>
      </c>
      <c r="C361" t="s">
        <v>218</v>
      </c>
      <c r="D361" t="s">
        <v>216</v>
      </c>
      <c r="E361" t="s">
        <v>217</v>
      </c>
      <c r="F361" t="s">
        <v>218</v>
      </c>
      <c r="G361" t="s">
        <v>221</v>
      </c>
    </row>
    <row r="362" spans="1:7" x14ac:dyDescent="0.25">
      <c r="A362">
        <v>361</v>
      </c>
      <c r="B362" t="s">
        <v>220</v>
      </c>
      <c r="C362" t="s">
        <v>216</v>
      </c>
      <c r="D362" t="s">
        <v>221</v>
      </c>
      <c r="E362" t="s">
        <v>218</v>
      </c>
      <c r="F362" t="s">
        <v>216</v>
      </c>
      <c r="G362" t="s">
        <v>217</v>
      </c>
    </row>
    <row r="363" spans="1:7" x14ac:dyDescent="0.25">
      <c r="A363">
        <v>362</v>
      </c>
      <c r="B363" t="s">
        <v>218</v>
      </c>
      <c r="C363" t="s">
        <v>216</v>
      </c>
      <c r="D363" t="s">
        <v>218</v>
      </c>
      <c r="E363" t="s">
        <v>221</v>
      </c>
      <c r="F363" t="s">
        <v>221</v>
      </c>
      <c r="G363" t="s">
        <v>221</v>
      </c>
    </row>
    <row r="364" spans="1:7" x14ac:dyDescent="0.25">
      <c r="A364">
        <v>363</v>
      </c>
      <c r="B364" t="s">
        <v>216</v>
      </c>
      <c r="C364" t="s">
        <v>216</v>
      </c>
      <c r="D364" t="s">
        <v>218</v>
      </c>
      <c r="E364" t="s">
        <v>217</v>
      </c>
      <c r="F364" t="s">
        <v>221</v>
      </c>
      <c r="G364" t="s">
        <v>219</v>
      </c>
    </row>
    <row r="365" spans="1:7" x14ac:dyDescent="0.25">
      <c r="A365">
        <v>364</v>
      </c>
      <c r="B365" t="s">
        <v>216</v>
      </c>
      <c r="C365" t="s">
        <v>221</v>
      </c>
      <c r="D365" t="s">
        <v>217</v>
      </c>
      <c r="E365" t="s">
        <v>221</v>
      </c>
      <c r="F365" t="s">
        <v>218</v>
      </c>
      <c r="G365" t="s">
        <v>221</v>
      </c>
    </row>
    <row r="366" spans="1:7" x14ac:dyDescent="0.25">
      <c r="A366">
        <v>365</v>
      </c>
      <c r="B366" t="s">
        <v>219</v>
      </c>
      <c r="C366" t="s">
        <v>216</v>
      </c>
      <c r="D366" t="s">
        <v>217</v>
      </c>
      <c r="E366" t="s">
        <v>216</v>
      </c>
      <c r="F366" t="s">
        <v>221</v>
      </c>
      <c r="G366" t="s">
        <v>221</v>
      </c>
    </row>
    <row r="367" spans="1:7" x14ac:dyDescent="0.25">
      <c r="A367">
        <v>366</v>
      </c>
      <c r="B367" t="s">
        <v>217</v>
      </c>
      <c r="C367" t="s">
        <v>216</v>
      </c>
      <c r="D367" t="s">
        <v>221</v>
      </c>
      <c r="E367" t="s">
        <v>218</v>
      </c>
      <c r="F367" t="s">
        <v>216</v>
      </c>
      <c r="G367" t="s">
        <v>221</v>
      </c>
    </row>
    <row r="368" spans="1:7" x14ac:dyDescent="0.25">
      <c r="A368">
        <v>367</v>
      </c>
      <c r="B368" t="s">
        <v>219</v>
      </c>
      <c r="C368" t="s">
        <v>217</v>
      </c>
      <c r="D368" t="s">
        <v>216</v>
      </c>
      <c r="E368" t="s">
        <v>216</v>
      </c>
      <c r="F368" t="s">
        <v>221</v>
      </c>
      <c r="G368" t="s">
        <v>221</v>
      </c>
    </row>
    <row r="369" spans="1:7" x14ac:dyDescent="0.25">
      <c r="A369">
        <v>368</v>
      </c>
      <c r="B369" t="s">
        <v>216</v>
      </c>
      <c r="C369" t="s">
        <v>220</v>
      </c>
      <c r="D369" t="s">
        <v>221</v>
      </c>
      <c r="E369" t="s">
        <v>221</v>
      </c>
      <c r="F369" t="s">
        <v>221</v>
      </c>
      <c r="G369" t="s">
        <v>218</v>
      </c>
    </row>
    <row r="370" spans="1:7" x14ac:dyDescent="0.25">
      <c r="A370">
        <v>369</v>
      </c>
      <c r="B370" t="s">
        <v>219</v>
      </c>
      <c r="C370" t="s">
        <v>218</v>
      </c>
      <c r="D370" t="s">
        <v>217</v>
      </c>
      <c r="E370" t="s">
        <v>221</v>
      </c>
      <c r="F370" t="s">
        <v>221</v>
      </c>
      <c r="G370" t="s">
        <v>217</v>
      </c>
    </row>
    <row r="371" spans="1:7" x14ac:dyDescent="0.25">
      <c r="A371">
        <v>370</v>
      </c>
      <c r="B371" t="s">
        <v>216</v>
      </c>
      <c r="C371" t="s">
        <v>219</v>
      </c>
      <c r="D371" t="s">
        <v>220</v>
      </c>
      <c r="E371" t="s">
        <v>218</v>
      </c>
      <c r="F371" t="s">
        <v>221</v>
      </c>
      <c r="G371" t="s">
        <v>221</v>
      </c>
    </row>
    <row r="372" spans="1:7" x14ac:dyDescent="0.25">
      <c r="A372">
        <v>371</v>
      </c>
      <c r="B372" t="s">
        <v>220</v>
      </c>
      <c r="C372" t="s">
        <v>216</v>
      </c>
      <c r="D372" t="s">
        <v>221</v>
      </c>
      <c r="E372" t="s">
        <v>216</v>
      </c>
      <c r="F372" t="s">
        <v>218</v>
      </c>
      <c r="G372" t="s">
        <v>216</v>
      </c>
    </row>
    <row r="373" spans="1:7" x14ac:dyDescent="0.25">
      <c r="A373">
        <v>372</v>
      </c>
      <c r="B373" t="s">
        <v>217</v>
      </c>
      <c r="C373" t="s">
        <v>216</v>
      </c>
      <c r="D373" t="s">
        <v>216</v>
      </c>
      <c r="E373" t="s">
        <v>216</v>
      </c>
      <c r="F373" t="s">
        <v>218</v>
      </c>
      <c r="G373" t="s">
        <v>221</v>
      </c>
    </row>
    <row r="374" spans="1:7" x14ac:dyDescent="0.25">
      <c r="A374">
        <v>373</v>
      </c>
      <c r="B374" t="s">
        <v>216</v>
      </c>
      <c r="C374" t="s">
        <v>216</v>
      </c>
      <c r="D374" t="s">
        <v>216</v>
      </c>
      <c r="E374" t="s">
        <v>221</v>
      </c>
      <c r="F374" t="s">
        <v>221</v>
      </c>
      <c r="G374" t="s">
        <v>221</v>
      </c>
    </row>
    <row r="375" spans="1:7" x14ac:dyDescent="0.25">
      <c r="A375">
        <v>374</v>
      </c>
      <c r="B375" t="s">
        <v>218</v>
      </c>
      <c r="C375" t="s">
        <v>217</v>
      </c>
      <c r="D375" t="s">
        <v>218</v>
      </c>
      <c r="E375" t="s">
        <v>219</v>
      </c>
      <c r="F375" t="s">
        <v>221</v>
      </c>
      <c r="G375" t="s">
        <v>216</v>
      </c>
    </row>
    <row r="376" spans="1:7" x14ac:dyDescent="0.25">
      <c r="A376">
        <v>375</v>
      </c>
      <c r="B376" t="s">
        <v>218</v>
      </c>
      <c r="C376" t="s">
        <v>220</v>
      </c>
      <c r="D376" t="s">
        <v>217</v>
      </c>
      <c r="E376" t="s">
        <v>216</v>
      </c>
      <c r="F376" t="s">
        <v>221</v>
      </c>
      <c r="G376" t="s">
        <v>221</v>
      </c>
    </row>
    <row r="377" spans="1:7" x14ac:dyDescent="0.25">
      <c r="A377">
        <v>376</v>
      </c>
      <c r="B377" t="s">
        <v>216</v>
      </c>
      <c r="C377" t="s">
        <v>219</v>
      </c>
      <c r="D377" t="s">
        <v>216</v>
      </c>
      <c r="E377" t="s">
        <v>218</v>
      </c>
      <c r="F377" t="s">
        <v>216</v>
      </c>
      <c r="G377" t="s">
        <v>216</v>
      </c>
    </row>
    <row r="378" spans="1:7" x14ac:dyDescent="0.25">
      <c r="A378">
        <v>377</v>
      </c>
      <c r="B378" t="s">
        <v>216</v>
      </c>
      <c r="C378" t="s">
        <v>216</v>
      </c>
      <c r="D378" t="s">
        <v>217</v>
      </c>
      <c r="E378" t="s">
        <v>220</v>
      </c>
      <c r="F378" t="s">
        <v>216</v>
      </c>
      <c r="G378" t="s">
        <v>220</v>
      </c>
    </row>
    <row r="379" spans="1:7" x14ac:dyDescent="0.25">
      <c r="A379">
        <v>378</v>
      </c>
      <c r="B379" t="s">
        <v>218</v>
      </c>
      <c r="C379" t="s">
        <v>217</v>
      </c>
      <c r="D379" t="s">
        <v>221</v>
      </c>
      <c r="E379" t="s">
        <v>216</v>
      </c>
      <c r="F379" t="s">
        <v>216</v>
      </c>
      <c r="G379" t="s">
        <v>218</v>
      </c>
    </row>
    <row r="380" spans="1:7" x14ac:dyDescent="0.25">
      <c r="A380">
        <v>379</v>
      </c>
      <c r="B380" t="s">
        <v>218</v>
      </c>
      <c r="C380" t="s">
        <v>217</v>
      </c>
      <c r="D380" t="s">
        <v>216</v>
      </c>
      <c r="E380" t="s">
        <v>216</v>
      </c>
      <c r="F380" t="s">
        <v>221</v>
      </c>
      <c r="G380" t="s">
        <v>219</v>
      </c>
    </row>
    <row r="381" spans="1:7" x14ac:dyDescent="0.25">
      <c r="A381">
        <v>380</v>
      </c>
      <c r="B381" t="s">
        <v>216</v>
      </c>
      <c r="C381" t="s">
        <v>216</v>
      </c>
      <c r="D381" t="s">
        <v>221</v>
      </c>
      <c r="E381" t="s">
        <v>216</v>
      </c>
      <c r="F381" t="s">
        <v>221</v>
      </c>
      <c r="G381" t="s">
        <v>216</v>
      </c>
    </row>
    <row r="382" spans="1:7" x14ac:dyDescent="0.25">
      <c r="A382">
        <v>381</v>
      </c>
      <c r="B382" t="s">
        <v>217</v>
      </c>
      <c r="C382" t="s">
        <v>219</v>
      </c>
      <c r="D382" t="s">
        <v>221</v>
      </c>
      <c r="E382" t="s">
        <v>216</v>
      </c>
      <c r="F382" t="s">
        <v>221</v>
      </c>
      <c r="G382" t="s">
        <v>216</v>
      </c>
    </row>
    <row r="383" spans="1:7" x14ac:dyDescent="0.25">
      <c r="A383">
        <v>382</v>
      </c>
      <c r="B383" t="s">
        <v>217</v>
      </c>
      <c r="C383" t="s">
        <v>218</v>
      </c>
      <c r="D383" t="s">
        <v>216</v>
      </c>
      <c r="E383" t="s">
        <v>218</v>
      </c>
      <c r="F383" t="s">
        <v>221</v>
      </c>
      <c r="G383" t="s">
        <v>217</v>
      </c>
    </row>
    <row r="384" spans="1:7" x14ac:dyDescent="0.25">
      <c r="A384">
        <v>383</v>
      </c>
      <c r="B384" t="s">
        <v>217</v>
      </c>
      <c r="C384" t="s">
        <v>216</v>
      </c>
      <c r="D384" t="s">
        <v>218</v>
      </c>
      <c r="E384" t="s">
        <v>216</v>
      </c>
      <c r="F384" t="s">
        <v>221</v>
      </c>
      <c r="G384" t="s">
        <v>218</v>
      </c>
    </row>
    <row r="385" spans="1:7" x14ac:dyDescent="0.25">
      <c r="A385">
        <v>384</v>
      </c>
      <c r="B385" t="s">
        <v>220</v>
      </c>
      <c r="C385" t="s">
        <v>217</v>
      </c>
      <c r="D385" t="s">
        <v>221</v>
      </c>
      <c r="E385" t="s">
        <v>216</v>
      </c>
      <c r="F385" t="s">
        <v>221</v>
      </c>
      <c r="G385" t="s">
        <v>216</v>
      </c>
    </row>
    <row r="386" spans="1:7" x14ac:dyDescent="0.25">
      <c r="A386">
        <v>385</v>
      </c>
      <c r="B386" t="s">
        <v>217</v>
      </c>
      <c r="C386" t="s">
        <v>216</v>
      </c>
      <c r="D386" t="s">
        <v>221</v>
      </c>
      <c r="E386" t="s">
        <v>221</v>
      </c>
      <c r="F386" t="s">
        <v>216</v>
      </c>
      <c r="G386" t="s">
        <v>219</v>
      </c>
    </row>
    <row r="387" spans="1:7" x14ac:dyDescent="0.25">
      <c r="A387">
        <v>386</v>
      </c>
      <c r="B387" t="s">
        <v>217</v>
      </c>
      <c r="C387" t="s">
        <v>218</v>
      </c>
      <c r="D387" t="s">
        <v>221</v>
      </c>
      <c r="E387" t="s">
        <v>216</v>
      </c>
      <c r="F387" t="s">
        <v>221</v>
      </c>
      <c r="G387" t="s">
        <v>221</v>
      </c>
    </row>
    <row r="388" spans="1:7" x14ac:dyDescent="0.25">
      <c r="A388">
        <v>387</v>
      </c>
      <c r="B388" t="s">
        <v>218</v>
      </c>
      <c r="C388" t="s">
        <v>219</v>
      </c>
      <c r="D388" t="s">
        <v>217</v>
      </c>
      <c r="E388" t="s">
        <v>220</v>
      </c>
      <c r="F388" t="s">
        <v>221</v>
      </c>
      <c r="G388" t="s">
        <v>221</v>
      </c>
    </row>
    <row r="389" spans="1:7" x14ac:dyDescent="0.25">
      <c r="A389">
        <v>388</v>
      </c>
      <c r="B389" t="s">
        <v>218</v>
      </c>
      <c r="C389" t="s">
        <v>219</v>
      </c>
      <c r="D389" t="s">
        <v>216</v>
      </c>
      <c r="E389" t="s">
        <v>221</v>
      </c>
      <c r="F389" t="s">
        <v>220</v>
      </c>
      <c r="G389" t="s">
        <v>221</v>
      </c>
    </row>
    <row r="390" spans="1:7" x14ac:dyDescent="0.25">
      <c r="A390">
        <v>389</v>
      </c>
      <c r="B390" t="s">
        <v>216</v>
      </c>
      <c r="C390" t="s">
        <v>221</v>
      </c>
      <c r="D390" t="s">
        <v>216</v>
      </c>
      <c r="E390" t="s">
        <v>217</v>
      </c>
      <c r="F390" t="s">
        <v>221</v>
      </c>
      <c r="G390" t="s">
        <v>221</v>
      </c>
    </row>
    <row r="391" spans="1:7" x14ac:dyDescent="0.25">
      <c r="A391">
        <v>390</v>
      </c>
      <c r="B391" t="s">
        <v>218</v>
      </c>
      <c r="C391" t="s">
        <v>216</v>
      </c>
      <c r="D391" t="s">
        <v>216</v>
      </c>
      <c r="E391" t="s">
        <v>221</v>
      </c>
      <c r="F391" t="s">
        <v>221</v>
      </c>
      <c r="G391" t="s">
        <v>221</v>
      </c>
    </row>
    <row r="392" spans="1:7" x14ac:dyDescent="0.25">
      <c r="A392">
        <v>391</v>
      </c>
      <c r="B392" t="s">
        <v>217</v>
      </c>
      <c r="C392" t="s">
        <v>218</v>
      </c>
      <c r="D392" t="s">
        <v>220</v>
      </c>
      <c r="E392" t="s">
        <v>218</v>
      </c>
      <c r="F392" t="s">
        <v>221</v>
      </c>
      <c r="G392" t="s">
        <v>221</v>
      </c>
    </row>
    <row r="393" spans="1:7" x14ac:dyDescent="0.25">
      <c r="A393">
        <v>392</v>
      </c>
      <c r="B393" t="s">
        <v>218</v>
      </c>
      <c r="C393" t="s">
        <v>216</v>
      </c>
      <c r="D393" t="s">
        <v>217</v>
      </c>
      <c r="E393" t="s">
        <v>217</v>
      </c>
      <c r="F393" t="s">
        <v>221</v>
      </c>
      <c r="G393" t="s">
        <v>216</v>
      </c>
    </row>
    <row r="394" spans="1:7" x14ac:dyDescent="0.25">
      <c r="A394">
        <v>393</v>
      </c>
      <c r="B394" t="s">
        <v>216</v>
      </c>
      <c r="C394" t="s">
        <v>217</v>
      </c>
      <c r="D394" t="s">
        <v>217</v>
      </c>
      <c r="E394" t="s">
        <v>217</v>
      </c>
      <c r="F394" t="s">
        <v>216</v>
      </c>
      <c r="G394" t="s">
        <v>221</v>
      </c>
    </row>
    <row r="395" spans="1:7" x14ac:dyDescent="0.25">
      <c r="A395">
        <v>394</v>
      </c>
      <c r="B395" t="s">
        <v>218</v>
      </c>
      <c r="C395" t="s">
        <v>217</v>
      </c>
      <c r="D395" t="s">
        <v>218</v>
      </c>
      <c r="E395" t="s">
        <v>221</v>
      </c>
      <c r="F395" t="s">
        <v>221</v>
      </c>
      <c r="G395" t="s">
        <v>217</v>
      </c>
    </row>
    <row r="396" spans="1:7" x14ac:dyDescent="0.25">
      <c r="A396">
        <v>395</v>
      </c>
      <c r="B396" t="s">
        <v>217</v>
      </c>
      <c r="C396" t="s">
        <v>218</v>
      </c>
      <c r="D396" t="s">
        <v>216</v>
      </c>
      <c r="E396" t="s">
        <v>221</v>
      </c>
      <c r="F396" t="s">
        <v>217</v>
      </c>
      <c r="G396" t="s">
        <v>218</v>
      </c>
    </row>
    <row r="397" spans="1:7" x14ac:dyDescent="0.25">
      <c r="A397">
        <v>396</v>
      </c>
      <c r="B397" t="s">
        <v>217</v>
      </c>
      <c r="C397" t="s">
        <v>216</v>
      </c>
      <c r="D397" t="s">
        <v>218</v>
      </c>
      <c r="E397" t="s">
        <v>218</v>
      </c>
      <c r="F397" t="s">
        <v>216</v>
      </c>
      <c r="G397" t="s">
        <v>221</v>
      </c>
    </row>
    <row r="398" spans="1:7" x14ac:dyDescent="0.25">
      <c r="A398">
        <v>397</v>
      </c>
      <c r="B398" t="s">
        <v>217</v>
      </c>
      <c r="C398" t="s">
        <v>216</v>
      </c>
      <c r="D398" t="s">
        <v>218</v>
      </c>
      <c r="E398" t="s">
        <v>216</v>
      </c>
      <c r="F398" t="s">
        <v>221</v>
      </c>
      <c r="G398" t="s">
        <v>217</v>
      </c>
    </row>
    <row r="399" spans="1:7" x14ac:dyDescent="0.25">
      <c r="A399">
        <v>398</v>
      </c>
      <c r="B399" t="s">
        <v>218</v>
      </c>
      <c r="C399" t="s">
        <v>218</v>
      </c>
      <c r="D399" t="s">
        <v>216</v>
      </c>
      <c r="E399" t="s">
        <v>218</v>
      </c>
      <c r="F399" t="s">
        <v>221</v>
      </c>
      <c r="G399" t="s">
        <v>218</v>
      </c>
    </row>
    <row r="400" spans="1:7" x14ac:dyDescent="0.25">
      <c r="A400">
        <v>399</v>
      </c>
      <c r="B400" t="s">
        <v>220</v>
      </c>
      <c r="C400" t="s">
        <v>221</v>
      </c>
      <c r="D400" t="s">
        <v>221</v>
      </c>
      <c r="E400" t="s">
        <v>221</v>
      </c>
      <c r="F400" t="s">
        <v>216</v>
      </c>
      <c r="G400" t="s">
        <v>216</v>
      </c>
    </row>
    <row r="401" spans="1:7" x14ac:dyDescent="0.25">
      <c r="A401">
        <v>400</v>
      </c>
      <c r="B401" t="s">
        <v>216</v>
      </c>
      <c r="C401" t="s">
        <v>217</v>
      </c>
      <c r="D401" t="s">
        <v>216</v>
      </c>
      <c r="E401" t="s">
        <v>221</v>
      </c>
      <c r="F401" t="s">
        <v>217</v>
      </c>
      <c r="G401" t="s">
        <v>221</v>
      </c>
    </row>
    <row r="402" spans="1:7" x14ac:dyDescent="0.25">
      <c r="A402">
        <v>401</v>
      </c>
      <c r="B402" t="s">
        <v>220</v>
      </c>
      <c r="C402" t="s">
        <v>220</v>
      </c>
      <c r="D402" t="s">
        <v>216</v>
      </c>
      <c r="E402" t="s">
        <v>221</v>
      </c>
      <c r="F402" t="s">
        <v>217</v>
      </c>
      <c r="G402" t="s">
        <v>221</v>
      </c>
    </row>
    <row r="403" spans="1:7" x14ac:dyDescent="0.25">
      <c r="A403">
        <v>402</v>
      </c>
      <c r="B403" t="s">
        <v>216</v>
      </c>
      <c r="C403" t="s">
        <v>217</v>
      </c>
      <c r="D403" t="s">
        <v>216</v>
      </c>
      <c r="E403" t="s">
        <v>216</v>
      </c>
      <c r="F403" t="s">
        <v>221</v>
      </c>
      <c r="G403" t="s">
        <v>221</v>
      </c>
    </row>
    <row r="404" spans="1:7" x14ac:dyDescent="0.25">
      <c r="A404">
        <v>403</v>
      </c>
      <c r="B404" t="s">
        <v>216</v>
      </c>
      <c r="C404" t="s">
        <v>220</v>
      </c>
      <c r="D404" t="s">
        <v>216</v>
      </c>
      <c r="E404" t="s">
        <v>221</v>
      </c>
      <c r="F404" t="s">
        <v>221</v>
      </c>
      <c r="G404" t="s">
        <v>220</v>
      </c>
    </row>
    <row r="405" spans="1:7" x14ac:dyDescent="0.25">
      <c r="A405">
        <v>404</v>
      </c>
      <c r="B405" t="s">
        <v>216</v>
      </c>
      <c r="C405" t="s">
        <v>217</v>
      </c>
      <c r="D405" t="s">
        <v>220</v>
      </c>
      <c r="E405" t="s">
        <v>221</v>
      </c>
      <c r="F405" t="s">
        <v>216</v>
      </c>
      <c r="G405" t="s">
        <v>219</v>
      </c>
    </row>
    <row r="406" spans="1:7" x14ac:dyDescent="0.25">
      <c r="A406">
        <v>405</v>
      </c>
      <c r="B406" t="s">
        <v>216</v>
      </c>
      <c r="C406" t="s">
        <v>221</v>
      </c>
      <c r="D406" t="s">
        <v>219</v>
      </c>
      <c r="E406" t="s">
        <v>221</v>
      </c>
      <c r="F406" t="s">
        <v>218</v>
      </c>
      <c r="G406" t="s">
        <v>216</v>
      </c>
    </row>
    <row r="407" spans="1:7" x14ac:dyDescent="0.25">
      <c r="A407">
        <v>406</v>
      </c>
      <c r="B407" t="s">
        <v>218</v>
      </c>
      <c r="C407" t="s">
        <v>221</v>
      </c>
      <c r="D407" t="s">
        <v>221</v>
      </c>
      <c r="E407" t="s">
        <v>218</v>
      </c>
      <c r="F407" t="s">
        <v>216</v>
      </c>
      <c r="G407" t="s">
        <v>221</v>
      </c>
    </row>
    <row r="408" spans="1:7" x14ac:dyDescent="0.25">
      <c r="A408">
        <v>407</v>
      </c>
      <c r="B408" t="s">
        <v>217</v>
      </c>
      <c r="C408" t="s">
        <v>217</v>
      </c>
      <c r="D408" t="s">
        <v>219</v>
      </c>
      <c r="E408" t="s">
        <v>216</v>
      </c>
      <c r="F408" t="s">
        <v>217</v>
      </c>
      <c r="G408" t="s">
        <v>221</v>
      </c>
    </row>
    <row r="409" spans="1:7" x14ac:dyDescent="0.25">
      <c r="A409">
        <v>408</v>
      </c>
      <c r="B409" t="s">
        <v>216</v>
      </c>
      <c r="C409" t="s">
        <v>216</v>
      </c>
      <c r="D409" t="s">
        <v>216</v>
      </c>
      <c r="E409" t="s">
        <v>216</v>
      </c>
      <c r="F409" t="s">
        <v>216</v>
      </c>
      <c r="G409" t="s">
        <v>221</v>
      </c>
    </row>
    <row r="410" spans="1:7" x14ac:dyDescent="0.25">
      <c r="A410">
        <v>409</v>
      </c>
      <c r="B410" t="s">
        <v>217</v>
      </c>
      <c r="C410" t="s">
        <v>218</v>
      </c>
      <c r="D410" t="s">
        <v>217</v>
      </c>
      <c r="E410" t="s">
        <v>217</v>
      </c>
      <c r="F410" t="s">
        <v>221</v>
      </c>
      <c r="G410" t="s">
        <v>219</v>
      </c>
    </row>
    <row r="411" spans="1:7" x14ac:dyDescent="0.25">
      <c r="A411">
        <v>410</v>
      </c>
      <c r="B411" t="s">
        <v>219</v>
      </c>
      <c r="C411" t="s">
        <v>217</v>
      </c>
      <c r="D411" t="s">
        <v>216</v>
      </c>
      <c r="E411" t="s">
        <v>221</v>
      </c>
      <c r="F411" t="s">
        <v>217</v>
      </c>
      <c r="G411" t="s">
        <v>218</v>
      </c>
    </row>
    <row r="412" spans="1:7" x14ac:dyDescent="0.25">
      <c r="A412">
        <v>411</v>
      </c>
      <c r="B412" t="s">
        <v>216</v>
      </c>
      <c r="C412" t="s">
        <v>218</v>
      </c>
      <c r="D412" t="s">
        <v>217</v>
      </c>
      <c r="E412" t="s">
        <v>218</v>
      </c>
      <c r="F412" t="s">
        <v>218</v>
      </c>
      <c r="G412" t="s">
        <v>221</v>
      </c>
    </row>
    <row r="413" spans="1:7" x14ac:dyDescent="0.25">
      <c r="A413">
        <v>412</v>
      </c>
      <c r="B413" t="s">
        <v>218</v>
      </c>
      <c r="C413" t="s">
        <v>218</v>
      </c>
      <c r="D413" t="s">
        <v>221</v>
      </c>
      <c r="E413" t="s">
        <v>221</v>
      </c>
      <c r="F413" t="s">
        <v>221</v>
      </c>
      <c r="G413" t="s">
        <v>221</v>
      </c>
    </row>
    <row r="414" spans="1:7" x14ac:dyDescent="0.25">
      <c r="A414">
        <v>413</v>
      </c>
      <c r="B414" t="s">
        <v>216</v>
      </c>
      <c r="C414" t="s">
        <v>218</v>
      </c>
      <c r="D414" t="s">
        <v>219</v>
      </c>
      <c r="E414" t="s">
        <v>216</v>
      </c>
      <c r="F414" t="s">
        <v>216</v>
      </c>
      <c r="G414" t="s">
        <v>221</v>
      </c>
    </row>
    <row r="415" spans="1:7" x14ac:dyDescent="0.25">
      <c r="A415">
        <v>414</v>
      </c>
      <c r="B415" t="s">
        <v>217</v>
      </c>
      <c r="C415" t="s">
        <v>218</v>
      </c>
      <c r="D415" t="s">
        <v>216</v>
      </c>
      <c r="E415" t="s">
        <v>221</v>
      </c>
      <c r="F415" t="s">
        <v>221</v>
      </c>
      <c r="G415" t="s">
        <v>221</v>
      </c>
    </row>
    <row r="416" spans="1:7" x14ac:dyDescent="0.25">
      <c r="A416">
        <v>415</v>
      </c>
      <c r="B416" t="s">
        <v>216</v>
      </c>
      <c r="C416" t="s">
        <v>218</v>
      </c>
      <c r="D416" t="s">
        <v>216</v>
      </c>
      <c r="E416" t="s">
        <v>216</v>
      </c>
      <c r="F416" t="s">
        <v>219</v>
      </c>
      <c r="G416" t="s">
        <v>219</v>
      </c>
    </row>
    <row r="417" spans="1:7" x14ac:dyDescent="0.25">
      <c r="A417">
        <v>416</v>
      </c>
      <c r="B417" t="s">
        <v>217</v>
      </c>
      <c r="C417" t="s">
        <v>217</v>
      </c>
      <c r="D417" t="s">
        <v>217</v>
      </c>
      <c r="E417" t="s">
        <v>217</v>
      </c>
      <c r="F417" t="s">
        <v>221</v>
      </c>
      <c r="G417" t="s">
        <v>219</v>
      </c>
    </row>
    <row r="418" spans="1:7" x14ac:dyDescent="0.25">
      <c r="A418">
        <v>417</v>
      </c>
      <c r="B418" t="s">
        <v>219</v>
      </c>
      <c r="C418" t="s">
        <v>218</v>
      </c>
      <c r="D418" t="s">
        <v>216</v>
      </c>
      <c r="E418" t="s">
        <v>219</v>
      </c>
      <c r="F418" t="s">
        <v>220</v>
      </c>
      <c r="G418" t="s">
        <v>221</v>
      </c>
    </row>
    <row r="419" spans="1:7" x14ac:dyDescent="0.25">
      <c r="A419">
        <v>418</v>
      </c>
      <c r="B419" t="s">
        <v>217</v>
      </c>
      <c r="C419" t="s">
        <v>216</v>
      </c>
      <c r="D419" t="s">
        <v>219</v>
      </c>
      <c r="E419" t="s">
        <v>216</v>
      </c>
      <c r="F419" t="s">
        <v>218</v>
      </c>
      <c r="G419" t="s">
        <v>221</v>
      </c>
    </row>
    <row r="420" spans="1:7" x14ac:dyDescent="0.25">
      <c r="A420">
        <v>419</v>
      </c>
      <c r="B420" t="s">
        <v>216</v>
      </c>
      <c r="C420" t="s">
        <v>218</v>
      </c>
      <c r="D420" t="s">
        <v>216</v>
      </c>
      <c r="E420" t="s">
        <v>217</v>
      </c>
      <c r="F420" t="s">
        <v>221</v>
      </c>
      <c r="G420" t="s">
        <v>221</v>
      </c>
    </row>
    <row r="421" spans="1:7" x14ac:dyDescent="0.25">
      <c r="A421">
        <v>420</v>
      </c>
      <c r="B421" t="s">
        <v>221</v>
      </c>
      <c r="C421" t="s">
        <v>220</v>
      </c>
      <c r="D421" t="s">
        <v>217</v>
      </c>
      <c r="E421" t="s">
        <v>221</v>
      </c>
      <c r="F421" t="s">
        <v>219</v>
      </c>
      <c r="G421" t="s">
        <v>217</v>
      </c>
    </row>
    <row r="422" spans="1:7" x14ac:dyDescent="0.25">
      <c r="A422">
        <v>421</v>
      </c>
      <c r="B422" t="s">
        <v>216</v>
      </c>
      <c r="C422" t="s">
        <v>220</v>
      </c>
      <c r="D422" t="s">
        <v>217</v>
      </c>
      <c r="E422" t="s">
        <v>220</v>
      </c>
      <c r="F422" t="s">
        <v>221</v>
      </c>
      <c r="G422" t="s">
        <v>220</v>
      </c>
    </row>
    <row r="423" spans="1:7" x14ac:dyDescent="0.25">
      <c r="A423">
        <v>422</v>
      </c>
      <c r="B423" t="s">
        <v>217</v>
      </c>
      <c r="C423" t="s">
        <v>219</v>
      </c>
      <c r="D423" t="s">
        <v>219</v>
      </c>
      <c r="E423" t="s">
        <v>221</v>
      </c>
      <c r="F423" t="s">
        <v>221</v>
      </c>
      <c r="G423" t="s">
        <v>220</v>
      </c>
    </row>
    <row r="424" spans="1:7" x14ac:dyDescent="0.25">
      <c r="A424">
        <v>423</v>
      </c>
      <c r="B424" t="s">
        <v>216</v>
      </c>
      <c r="C424" t="s">
        <v>216</v>
      </c>
      <c r="D424" t="s">
        <v>220</v>
      </c>
      <c r="E424" t="s">
        <v>221</v>
      </c>
      <c r="F424" t="s">
        <v>217</v>
      </c>
      <c r="G424" t="s">
        <v>217</v>
      </c>
    </row>
    <row r="425" spans="1:7" x14ac:dyDescent="0.25">
      <c r="A425">
        <v>424</v>
      </c>
      <c r="B425" t="s">
        <v>217</v>
      </c>
      <c r="C425" t="s">
        <v>216</v>
      </c>
      <c r="D425" t="s">
        <v>220</v>
      </c>
      <c r="E425" t="s">
        <v>221</v>
      </c>
      <c r="F425" t="s">
        <v>221</v>
      </c>
      <c r="G425" t="s">
        <v>221</v>
      </c>
    </row>
    <row r="426" spans="1:7" x14ac:dyDescent="0.25">
      <c r="A426">
        <v>425</v>
      </c>
      <c r="B426" t="s">
        <v>218</v>
      </c>
      <c r="C426" t="s">
        <v>218</v>
      </c>
      <c r="D426" t="s">
        <v>218</v>
      </c>
      <c r="E426" t="s">
        <v>216</v>
      </c>
      <c r="F426" t="s">
        <v>221</v>
      </c>
      <c r="G426" t="s">
        <v>221</v>
      </c>
    </row>
    <row r="427" spans="1:7" x14ac:dyDescent="0.25">
      <c r="A427">
        <v>426</v>
      </c>
      <c r="B427" t="s">
        <v>217</v>
      </c>
      <c r="C427" t="s">
        <v>219</v>
      </c>
      <c r="D427" t="s">
        <v>217</v>
      </c>
      <c r="E427" t="s">
        <v>221</v>
      </c>
      <c r="F427" t="s">
        <v>221</v>
      </c>
      <c r="G427" t="s">
        <v>217</v>
      </c>
    </row>
    <row r="428" spans="1:7" x14ac:dyDescent="0.25">
      <c r="A428">
        <v>427</v>
      </c>
      <c r="B428" t="s">
        <v>219</v>
      </c>
      <c r="C428" t="s">
        <v>221</v>
      </c>
      <c r="D428" t="s">
        <v>216</v>
      </c>
      <c r="E428" t="s">
        <v>216</v>
      </c>
      <c r="F428" t="s">
        <v>216</v>
      </c>
      <c r="G428" t="s">
        <v>221</v>
      </c>
    </row>
    <row r="429" spans="1:7" x14ac:dyDescent="0.25">
      <c r="A429">
        <v>428</v>
      </c>
      <c r="B429" t="s">
        <v>216</v>
      </c>
      <c r="C429" t="s">
        <v>219</v>
      </c>
      <c r="D429" t="s">
        <v>217</v>
      </c>
      <c r="E429" t="s">
        <v>216</v>
      </c>
      <c r="F429" t="s">
        <v>216</v>
      </c>
      <c r="G429" t="s">
        <v>221</v>
      </c>
    </row>
    <row r="430" spans="1:7" x14ac:dyDescent="0.25">
      <c r="A430">
        <v>429</v>
      </c>
      <c r="B430" t="s">
        <v>216</v>
      </c>
      <c r="C430" t="s">
        <v>218</v>
      </c>
      <c r="D430" t="s">
        <v>219</v>
      </c>
      <c r="E430" t="s">
        <v>217</v>
      </c>
      <c r="F430" t="s">
        <v>221</v>
      </c>
      <c r="G430" t="s">
        <v>221</v>
      </c>
    </row>
    <row r="431" spans="1:7" x14ac:dyDescent="0.25">
      <c r="A431">
        <v>430</v>
      </c>
      <c r="B431" t="s">
        <v>217</v>
      </c>
      <c r="C431" t="s">
        <v>216</v>
      </c>
      <c r="D431" t="s">
        <v>216</v>
      </c>
      <c r="E431" t="s">
        <v>221</v>
      </c>
      <c r="F431" t="s">
        <v>217</v>
      </c>
      <c r="G431" t="s">
        <v>218</v>
      </c>
    </row>
    <row r="432" spans="1:7" x14ac:dyDescent="0.25">
      <c r="A432">
        <v>431</v>
      </c>
      <c r="B432" t="s">
        <v>218</v>
      </c>
      <c r="C432" t="s">
        <v>220</v>
      </c>
      <c r="D432" t="s">
        <v>217</v>
      </c>
      <c r="E432" t="s">
        <v>216</v>
      </c>
      <c r="F432" t="s">
        <v>216</v>
      </c>
      <c r="G432" t="s">
        <v>221</v>
      </c>
    </row>
    <row r="433" spans="1:7" x14ac:dyDescent="0.25">
      <c r="A433">
        <v>432</v>
      </c>
      <c r="B433" t="s">
        <v>217</v>
      </c>
      <c r="C433" t="s">
        <v>221</v>
      </c>
      <c r="D433" t="s">
        <v>219</v>
      </c>
      <c r="E433" t="s">
        <v>220</v>
      </c>
      <c r="F433" t="s">
        <v>216</v>
      </c>
      <c r="G433" t="s">
        <v>219</v>
      </c>
    </row>
    <row r="434" spans="1:7" x14ac:dyDescent="0.25">
      <c r="A434">
        <v>433</v>
      </c>
      <c r="B434" t="s">
        <v>218</v>
      </c>
      <c r="C434" t="s">
        <v>221</v>
      </c>
      <c r="D434" t="s">
        <v>216</v>
      </c>
      <c r="E434" t="s">
        <v>216</v>
      </c>
      <c r="F434" t="s">
        <v>218</v>
      </c>
      <c r="G434" t="s">
        <v>221</v>
      </c>
    </row>
    <row r="435" spans="1:7" x14ac:dyDescent="0.25">
      <c r="A435">
        <v>434</v>
      </c>
      <c r="B435" t="s">
        <v>216</v>
      </c>
      <c r="C435" t="s">
        <v>217</v>
      </c>
      <c r="D435" t="s">
        <v>216</v>
      </c>
      <c r="E435" t="s">
        <v>221</v>
      </c>
      <c r="F435" t="s">
        <v>221</v>
      </c>
      <c r="G435" t="s">
        <v>217</v>
      </c>
    </row>
    <row r="436" spans="1:7" x14ac:dyDescent="0.25">
      <c r="A436">
        <v>435</v>
      </c>
      <c r="B436" t="s">
        <v>217</v>
      </c>
      <c r="C436" t="s">
        <v>217</v>
      </c>
      <c r="D436" t="s">
        <v>219</v>
      </c>
      <c r="E436" t="s">
        <v>221</v>
      </c>
      <c r="F436" t="s">
        <v>221</v>
      </c>
      <c r="G436" t="s">
        <v>221</v>
      </c>
    </row>
    <row r="437" spans="1:7" x14ac:dyDescent="0.25">
      <c r="A437">
        <v>436</v>
      </c>
      <c r="B437" t="s">
        <v>217</v>
      </c>
      <c r="C437" t="s">
        <v>218</v>
      </c>
      <c r="D437" t="s">
        <v>220</v>
      </c>
      <c r="E437" t="s">
        <v>217</v>
      </c>
      <c r="F437" t="s">
        <v>219</v>
      </c>
      <c r="G437" t="s">
        <v>216</v>
      </c>
    </row>
    <row r="438" spans="1:7" x14ac:dyDescent="0.25">
      <c r="A438">
        <v>437</v>
      </c>
      <c r="B438" t="s">
        <v>219</v>
      </c>
      <c r="C438" t="s">
        <v>216</v>
      </c>
      <c r="D438" t="s">
        <v>217</v>
      </c>
      <c r="E438" t="s">
        <v>221</v>
      </c>
      <c r="F438" t="s">
        <v>218</v>
      </c>
      <c r="G438" t="s">
        <v>220</v>
      </c>
    </row>
    <row r="439" spans="1:7" x14ac:dyDescent="0.25">
      <c r="A439">
        <v>438</v>
      </c>
      <c r="B439" t="s">
        <v>219</v>
      </c>
      <c r="C439" t="s">
        <v>221</v>
      </c>
      <c r="D439" t="s">
        <v>217</v>
      </c>
      <c r="E439" t="s">
        <v>218</v>
      </c>
      <c r="F439" t="s">
        <v>221</v>
      </c>
      <c r="G439" t="s">
        <v>221</v>
      </c>
    </row>
    <row r="440" spans="1:7" x14ac:dyDescent="0.25">
      <c r="A440">
        <v>439</v>
      </c>
      <c r="B440" t="s">
        <v>216</v>
      </c>
      <c r="C440" t="s">
        <v>218</v>
      </c>
      <c r="D440" t="s">
        <v>221</v>
      </c>
      <c r="E440" t="s">
        <v>220</v>
      </c>
      <c r="F440" t="s">
        <v>219</v>
      </c>
      <c r="G440" t="s">
        <v>219</v>
      </c>
    </row>
    <row r="441" spans="1:7" x14ac:dyDescent="0.25">
      <c r="A441">
        <v>440</v>
      </c>
      <c r="B441" t="s">
        <v>216</v>
      </c>
      <c r="C441" t="s">
        <v>219</v>
      </c>
      <c r="D441" t="s">
        <v>219</v>
      </c>
      <c r="E441" t="s">
        <v>219</v>
      </c>
      <c r="F441" t="s">
        <v>221</v>
      </c>
      <c r="G441" t="s">
        <v>217</v>
      </c>
    </row>
    <row r="442" spans="1:7" x14ac:dyDescent="0.25">
      <c r="A442">
        <v>441</v>
      </c>
      <c r="B442" t="s">
        <v>216</v>
      </c>
      <c r="C442" t="s">
        <v>216</v>
      </c>
      <c r="D442" t="s">
        <v>218</v>
      </c>
      <c r="E442" t="s">
        <v>221</v>
      </c>
      <c r="F442" t="s">
        <v>221</v>
      </c>
      <c r="G442" t="s">
        <v>217</v>
      </c>
    </row>
    <row r="443" spans="1:7" x14ac:dyDescent="0.25">
      <c r="A443">
        <v>442</v>
      </c>
      <c r="B443" t="s">
        <v>216</v>
      </c>
      <c r="C443" t="s">
        <v>216</v>
      </c>
      <c r="D443" t="s">
        <v>216</v>
      </c>
      <c r="E443" t="s">
        <v>216</v>
      </c>
      <c r="F443" t="s">
        <v>221</v>
      </c>
      <c r="G443" t="s">
        <v>221</v>
      </c>
    </row>
    <row r="444" spans="1:7" x14ac:dyDescent="0.25">
      <c r="A444">
        <v>443</v>
      </c>
      <c r="B444" t="s">
        <v>217</v>
      </c>
      <c r="C444" t="s">
        <v>220</v>
      </c>
      <c r="D444" t="s">
        <v>221</v>
      </c>
      <c r="E444" t="s">
        <v>217</v>
      </c>
      <c r="F444" t="s">
        <v>217</v>
      </c>
      <c r="G444" t="s">
        <v>216</v>
      </c>
    </row>
    <row r="445" spans="1:7" x14ac:dyDescent="0.25">
      <c r="A445">
        <v>444</v>
      </c>
      <c r="B445" t="s">
        <v>216</v>
      </c>
      <c r="C445" t="s">
        <v>216</v>
      </c>
      <c r="D445" t="s">
        <v>221</v>
      </c>
      <c r="E445" t="s">
        <v>219</v>
      </c>
      <c r="F445" t="s">
        <v>220</v>
      </c>
      <c r="G445" t="s">
        <v>221</v>
      </c>
    </row>
    <row r="446" spans="1:7" x14ac:dyDescent="0.25">
      <c r="A446">
        <v>445</v>
      </c>
      <c r="B446" t="s">
        <v>216</v>
      </c>
      <c r="C446" t="s">
        <v>216</v>
      </c>
      <c r="D446" t="s">
        <v>216</v>
      </c>
      <c r="E446" t="s">
        <v>216</v>
      </c>
      <c r="F446" t="s">
        <v>221</v>
      </c>
      <c r="G446" t="s">
        <v>216</v>
      </c>
    </row>
    <row r="447" spans="1:7" x14ac:dyDescent="0.25">
      <c r="A447">
        <v>446</v>
      </c>
      <c r="B447" t="s">
        <v>221</v>
      </c>
      <c r="C447" t="s">
        <v>217</v>
      </c>
      <c r="D447" t="s">
        <v>221</v>
      </c>
      <c r="E447" t="s">
        <v>216</v>
      </c>
      <c r="F447" t="s">
        <v>219</v>
      </c>
      <c r="G447" t="s">
        <v>221</v>
      </c>
    </row>
    <row r="448" spans="1:7" x14ac:dyDescent="0.25">
      <c r="A448">
        <v>447</v>
      </c>
      <c r="B448" t="s">
        <v>217</v>
      </c>
      <c r="C448" t="s">
        <v>216</v>
      </c>
      <c r="D448" t="s">
        <v>216</v>
      </c>
      <c r="E448" t="s">
        <v>220</v>
      </c>
      <c r="F448" t="s">
        <v>219</v>
      </c>
      <c r="G448" t="s">
        <v>221</v>
      </c>
    </row>
    <row r="449" spans="1:7" x14ac:dyDescent="0.25">
      <c r="A449">
        <v>448</v>
      </c>
      <c r="B449" t="s">
        <v>220</v>
      </c>
      <c r="C449" t="s">
        <v>217</v>
      </c>
      <c r="D449" t="s">
        <v>219</v>
      </c>
      <c r="E449" t="s">
        <v>216</v>
      </c>
      <c r="F449" t="s">
        <v>221</v>
      </c>
      <c r="G449" t="s">
        <v>216</v>
      </c>
    </row>
    <row r="450" spans="1:7" x14ac:dyDescent="0.25">
      <c r="A450">
        <v>449</v>
      </c>
      <c r="B450" t="s">
        <v>217</v>
      </c>
      <c r="C450" t="s">
        <v>216</v>
      </c>
      <c r="D450" t="s">
        <v>219</v>
      </c>
      <c r="E450" t="s">
        <v>221</v>
      </c>
      <c r="F450" t="s">
        <v>221</v>
      </c>
      <c r="G450" t="s">
        <v>221</v>
      </c>
    </row>
    <row r="451" spans="1:7" x14ac:dyDescent="0.25">
      <c r="A451">
        <v>450</v>
      </c>
      <c r="B451" t="s">
        <v>220</v>
      </c>
      <c r="C451" t="s">
        <v>220</v>
      </c>
      <c r="D451" t="s">
        <v>217</v>
      </c>
      <c r="E451" t="s">
        <v>221</v>
      </c>
      <c r="F451" t="s">
        <v>217</v>
      </c>
      <c r="G451" t="s">
        <v>217</v>
      </c>
    </row>
    <row r="452" spans="1:7" x14ac:dyDescent="0.25">
      <c r="A452">
        <v>451</v>
      </c>
      <c r="B452" t="s">
        <v>216</v>
      </c>
      <c r="C452" t="s">
        <v>218</v>
      </c>
      <c r="D452" t="s">
        <v>221</v>
      </c>
      <c r="E452" t="s">
        <v>216</v>
      </c>
      <c r="F452" t="s">
        <v>217</v>
      </c>
      <c r="G452" t="s">
        <v>218</v>
      </c>
    </row>
    <row r="453" spans="1:7" x14ac:dyDescent="0.25">
      <c r="A453">
        <v>452</v>
      </c>
      <c r="B453" t="s">
        <v>220</v>
      </c>
      <c r="C453" t="s">
        <v>216</v>
      </c>
      <c r="D453" t="s">
        <v>219</v>
      </c>
      <c r="E453" t="s">
        <v>216</v>
      </c>
      <c r="F453" t="s">
        <v>220</v>
      </c>
      <c r="G453" t="s">
        <v>216</v>
      </c>
    </row>
    <row r="454" spans="1:7" x14ac:dyDescent="0.25">
      <c r="A454">
        <v>453</v>
      </c>
      <c r="B454" t="s">
        <v>219</v>
      </c>
      <c r="C454" t="s">
        <v>220</v>
      </c>
      <c r="D454" t="s">
        <v>221</v>
      </c>
      <c r="E454" t="s">
        <v>216</v>
      </c>
      <c r="F454" t="s">
        <v>216</v>
      </c>
      <c r="G454" t="s">
        <v>221</v>
      </c>
    </row>
    <row r="455" spans="1:7" x14ac:dyDescent="0.25">
      <c r="A455">
        <v>454</v>
      </c>
      <c r="B455" t="s">
        <v>219</v>
      </c>
      <c r="C455" t="s">
        <v>221</v>
      </c>
      <c r="D455" t="s">
        <v>218</v>
      </c>
      <c r="E455" t="s">
        <v>216</v>
      </c>
      <c r="F455" t="s">
        <v>217</v>
      </c>
      <c r="G455" t="s">
        <v>218</v>
      </c>
    </row>
    <row r="456" spans="1:7" x14ac:dyDescent="0.25">
      <c r="A456">
        <v>455</v>
      </c>
      <c r="B456" t="s">
        <v>216</v>
      </c>
      <c r="C456" t="s">
        <v>220</v>
      </c>
      <c r="D456" t="s">
        <v>216</v>
      </c>
      <c r="E456" t="s">
        <v>217</v>
      </c>
      <c r="F456" t="s">
        <v>218</v>
      </c>
      <c r="G456" t="s">
        <v>218</v>
      </c>
    </row>
    <row r="457" spans="1:7" x14ac:dyDescent="0.25">
      <c r="A457">
        <v>456</v>
      </c>
      <c r="B457" t="s">
        <v>218</v>
      </c>
      <c r="C457" t="s">
        <v>218</v>
      </c>
      <c r="D457" t="s">
        <v>221</v>
      </c>
      <c r="E457" t="s">
        <v>221</v>
      </c>
      <c r="F457" t="s">
        <v>221</v>
      </c>
      <c r="G457" t="s">
        <v>221</v>
      </c>
    </row>
    <row r="458" spans="1:7" x14ac:dyDescent="0.25">
      <c r="A458">
        <v>457</v>
      </c>
      <c r="B458" t="s">
        <v>216</v>
      </c>
      <c r="C458" t="s">
        <v>217</v>
      </c>
      <c r="D458" t="s">
        <v>217</v>
      </c>
      <c r="E458" t="s">
        <v>216</v>
      </c>
      <c r="F458" t="s">
        <v>216</v>
      </c>
      <c r="G458" t="s">
        <v>219</v>
      </c>
    </row>
    <row r="459" spans="1:7" x14ac:dyDescent="0.25">
      <c r="A459">
        <v>458</v>
      </c>
      <c r="B459" t="s">
        <v>218</v>
      </c>
      <c r="C459" t="s">
        <v>219</v>
      </c>
      <c r="D459" t="s">
        <v>221</v>
      </c>
      <c r="E459" t="s">
        <v>216</v>
      </c>
      <c r="F459" t="s">
        <v>219</v>
      </c>
      <c r="G459" t="s">
        <v>218</v>
      </c>
    </row>
    <row r="460" spans="1:7" x14ac:dyDescent="0.25">
      <c r="A460">
        <v>459</v>
      </c>
      <c r="B460" t="s">
        <v>220</v>
      </c>
      <c r="C460" t="s">
        <v>218</v>
      </c>
      <c r="D460" t="s">
        <v>220</v>
      </c>
      <c r="E460" t="s">
        <v>217</v>
      </c>
      <c r="F460" t="s">
        <v>217</v>
      </c>
      <c r="G460" t="s">
        <v>218</v>
      </c>
    </row>
    <row r="461" spans="1:7" x14ac:dyDescent="0.25">
      <c r="A461">
        <v>460</v>
      </c>
      <c r="B461" t="s">
        <v>218</v>
      </c>
      <c r="C461" t="s">
        <v>217</v>
      </c>
      <c r="D461" t="s">
        <v>218</v>
      </c>
      <c r="E461" t="s">
        <v>221</v>
      </c>
      <c r="F461" t="s">
        <v>221</v>
      </c>
      <c r="G461" t="s">
        <v>221</v>
      </c>
    </row>
    <row r="462" spans="1:7" x14ac:dyDescent="0.25">
      <c r="A462">
        <v>461</v>
      </c>
      <c r="B462" t="s">
        <v>216</v>
      </c>
      <c r="C462" t="s">
        <v>217</v>
      </c>
      <c r="D462" t="s">
        <v>218</v>
      </c>
      <c r="E462" t="s">
        <v>221</v>
      </c>
      <c r="F462" t="s">
        <v>216</v>
      </c>
      <c r="G462" t="s">
        <v>218</v>
      </c>
    </row>
    <row r="463" spans="1:7" x14ac:dyDescent="0.25">
      <c r="A463">
        <v>462</v>
      </c>
      <c r="B463" t="s">
        <v>216</v>
      </c>
      <c r="C463" t="s">
        <v>217</v>
      </c>
      <c r="D463" t="s">
        <v>221</v>
      </c>
      <c r="E463" t="s">
        <v>221</v>
      </c>
      <c r="F463" t="s">
        <v>216</v>
      </c>
      <c r="G463" t="s">
        <v>221</v>
      </c>
    </row>
    <row r="464" spans="1:7" x14ac:dyDescent="0.25">
      <c r="A464">
        <v>463</v>
      </c>
      <c r="B464" t="s">
        <v>218</v>
      </c>
      <c r="C464" t="s">
        <v>220</v>
      </c>
      <c r="D464" t="s">
        <v>216</v>
      </c>
      <c r="E464" t="s">
        <v>221</v>
      </c>
      <c r="F464" t="s">
        <v>218</v>
      </c>
      <c r="G464" t="s">
        <v>221</v>
      </c>
    </row>
    <row r="465" spans="1:7" x14ac:dyDescent="0.25">
      <c r="A465">
        <v>464</v>
      </c>
      <c r="B465" t="s">
        <v>219</v>
      </c>
      <c r="C465" t="s">
        <v>219</v>
      </c>
      <c r="D465" t="s">
        <v>217</v>
      </c>
      <c r="E465" t="s">
        <v>218</v>
      </c>
      <c r="F465" t="s">
        <v>221</v>
      </c>
      <c r="G465" t="s">
        <v>217</v>
      </c>
    </row>
    <row r="466" spans="1:7" x14ac:dyDescent="0.25">
      <c r="A466">
        <v>465</v>
      </c>
      <c r="B466" t="s">
        <v>216</v>
      </c>
      <c r="C466" t="s">
        <v>216</v>
      </c>
      <c r="D466" t="s">
        <v>216</v>
      </c>
      <c r="E466" t="s">
        <v>219</v>
      </c>
      <c r="F466" t="s">
        <v>221</v>
      </c>
      <c r="G466" t="s">
        <v>221</v>
      </c>
    </row>
    <row r="467" spans="1:7" x14ac:dyDescent="0.25">
      <c r="A467">
        <v>466</v>
      </c>
      <c r="B467" t="s">
        <v>216</v>
      </c>
      <c r="C467" t="s">
        <v>216</v>
      </c>
      <c r="D467" t="s">
        <v>218</v>
      </c>
      <c r="E467" t="s">
        <v>221</v>
      </c>
      <c r="F467" t="s">
        <v>221</v>
      </c>
      <c r="G467" t="s">
        <v>221</v>
      </c>
    </row>
    <row r="468" spans="1:7" x14ac:dyDescent="0.25">
      <c r="A468">
        <v>467</v>
      </c>
      <c r="B468" t="s">
        <v>219</v>
      </c>
      <c r="C468" t="s">
        <v>216</v>
      </c>
      <c r="D468" t="s">
        <v>217</v>
      </c>
      <c r="E468" t="s">
        <v>221</v>
      </c>
      <c r="F468" t="s">
        <v>219</v>
      </c>
      <c r="G468" t="s">
        <v>219</v>
      </c>
    </row>
    <row r="469" spans="1:7" x14ac:dyDescent="0.25">
      <c r="A469">
        <v>468</v>
      </c>
      <c r="B469" t="s">
        <v>219</v>
      </c>
      <c r="C469" t="s">
        <v>216</v>
      </c>
      <c r="D469" t="s">
        <v>216</v>
      </c>
      <c r="E469" t="s">
        <v>221</v>
      </c>
      <c r="F469" t="s">
        <v>217</v>
      </c>
      <c r="G469" t="s">
        <v>221</v>
      </c>
    </row>
    <row r="470" spans="1:7" x14ac:dyDescent="0.25">
      <c r="A470">
        <v>469</v>
      </c>
      <c r="B470" t="s">
        <v>216</v>
      </c>
      <c r="C470" t="s">
        <v>216</v>
      </c>
      <c r="D470" t="s">
        <v>221</v>
      </c>
      <c r="E470" t="s">
        <v>216</v>
      </c>
      <c r="F470" t="s">
        <v>221</v>
      </c>
      <c r="G470" t="s">
        <v>217</v>
      </c>
    </row>
    <row r="471" spans="1:7" x14ac:dyDescent="0.25">
      <c r="A471">
        <v>470</v>
      </c>
      <c r="B471" t="s">
        <v>220</v>
      </c>
      <c r="C471" t="s">
        <v>218</v>
      </c>
      <c r="D471" t="s">
        <v>218</v>
      </c>
      <c r="E471" t="s">
        <v>221</v>
      </c>
      <c r="F471" t="s">
        <v>221</v>
      </c>
      <c r="G471" t="s">
        <v>218</v>
      </c>
    </row>
    <row r="472" spans="1:7" x14ac:dyDescent="0.25">
      <c r="A472">
        <v>471</v>
      </c>
      <c r="B472" t="s">
        <v>217</v>
      </c>
      <c r="C472" t="s">
        <v>219</v>
      </c>
      <c r="D472" t="s">
        <v>218</v>
      </c>
      <c r="E472" t="s">
        <v>221</v>
      </c>
      <c r="F472" t="s">
        <v>221</v>
      </c>
      <c r="G472" t="s">
        <v>221</v>
      </c>
    </row>
    <row r="473" spans="1:7" x14ac:dyDescent="0.25">
      <c r="A473">
        <v>472</v>
      </c>
      <c r="B473" t="s">
        <v>220</v>
      </c>
      <c r="C473" t="s">
        <v>219</v>
      </c>
      <c r="D473" t="s">
        <v>221</v>
      </c>
      <c r="E473" t="s">
        <v>216</v>
      </c>
      <c r="F473" t="s">
        <v>217</v>
      </c>
      <c r="G473" t="s">
        <v>219</v>
      </c>
    </row>
    <row r="474" spans="1:7" x14ac:dyDescent="0.25">
      <c r="A474">
        <v>473</v>
      </c>
      <c r="B474" t="s">
        <v>218</v>
      </c>
      <c r="C474" t="s">
        <v>216</v>
      </c>
      <c r="D474" t="s">
        <v>216</v>
      </c>
      <c r="E474" t="s">
        <v>216</v>
      </c>
      <c r="F474" t="s">
        <v>219</v>
      </c>
      <c r="G474" t="s">
        <v>217</v>
      </c>
    </row>
    <row r="475" spans="1:7" x14ac:dyDescent="0.25">
      <c r="A475">
        <v>474</v>
      </c>
      <c r="B475" t="s">
        <v>218</v>
      </c>
      <c r="C475" t="s">
        <v>217</v>
      </c>
      <c r="D475" t="s">
        <v>216</v>
      </c>
      <c r="E475" t="s">
        <v>217</v>
      </c>
      <c r="F475" t="s">
        <v>221</v>
      </c>
      <c r="G475" t="s">
        <v>216</v>
      </c>
    </row>
    <row r="476" spans="1:7" x14ac:dyDescent="0.25">
      <c r="A476">
        <v>475</v>
      </c>
      <c r="B476" t="s">
        <v>216</v>
      </c>
      <c r="C476" t="s">
        <v>216</v>
      </c>
      <c r="D476" t="s">
        <v>216</v>
      </c>
      <c r="E476" t="s">
        <v>218</v>
      </c>
      <c r="F476" t="s">
        <v>221</v>
      </c>
      <c r="G476" t="s">
        <v>221</v>
      </c>
    </row>
    <row r="477" spans="1:7" x14ac:dyDescent="0.25">
      <c r="A477">
        <v>476</v>
      </c>
      <c r="B477" t="s">
        <v>220</v>
      </c>
      <c r="C477" t="s">
        <v>217</v>
      </c>
      <c r="D477" t="s">
        <v>220</v>
      </c>
      <c r="E477" t="s">
        <v>221</v>
      </c>
      <c r="F477" t="s">
        <v>220</v>
      </c>
      <c r="G477" t="s">
        <v>217</v>
      </c>
    </row>
    <row r="478" spans="1:7" x14ac:dyDescent="0.25">
      <c r="A478">
        <v>477</v>
      </c>
      <c r="B478" t="s">
        <v>220</v>
      </c>
      <c r="C478" t="s">
        <v>218</v>
      </c>
      <c r="D478" t="s">
        <v>217</v>
      </c>
      <c r="E478" t="s">
        <v>216</v>
      </c>
      <c r="F478" t="s">
        <v>221</v>
      </c>
      <c r="G478" t="s">
        <v>221</v>
      </c>
    </row>
    <row r="479" spans="1:7" x14ac:dyDescent="0.25">
      <c r="A479">
        <v>478</v>
      </c>
      <c r="B479" t="s">
        <v>216</v>
      </c>
      <c r="C479" t="s">
        <v>216</v>
      </c>
      <c r="D479" t="s">
        <v>218</v>
      </c>
      <c r="E479" t="s">
        <v>221</v>
      </c>
      <c r="F479" t="s">
        <v>221</v>
      </c>
      <c r="G479" t="s">
        <v>216</v>
      </c>
    </row>
    <row r="480" spans="1:7" x14ac:dyDescent="0.25">
      <c r="A480">
        <v>479</v>
      </c>
      <c r="B480" t="s">
        <v>216</v>
      </c>
      <c r="C480" t="s">
        <v>218</v>
      </c>
      <c r="D480" t="s">
        <v>216</v>
      </c>
      <c r="E480" t="s">
        <v>216</v>
      </c>
      <c r="F480" t="s">
        <v>221</v>
      </c>
      <c r="G480" t="s">
        <v>218</v>
      </c>
    </row>
    <row r="481" spans="1:7" x14ac:dyDescent="0.25">
      <c r="A481">
        <v>480</v>
      </c>
      <c r="B481" t="s">
        <v>217</v>
      </c>
      <c r="C481" t="s">
        <v>216</v>
      </c>
      <c r="D481" t="s">
        <v>221</v>
      </c>
      <c r="E481" t="s">
        <v>216</v>
      </c>
      <c r="F481" t="s">
        <v>221</v>
      </c>
      <c r="G481" t="s">
        <v>221</v>
      </c>
    </row>
    <row r="482" spans="1:7" x14ac:dyDescent="0.25">
      <c r="A482">
        <v>481</v>
      </c>
      <c r="B482" t="s">
        <v>219</v>
      </c>
      <c r="C482" t="s">
        <v>221</v>
      </c>
      <c r="D482" t="s">
        <v>221</v>
      </c>
      <c r="E482" t="s">
        <v>221</v>
      </c>
      <c r="F482" t="s">
        <v>216</v>
      </c>
      <c r="G482" t="s">
        <v>216</v>
      </c>
    </row>
    <row r="483" spans="1:7" x14ac:dyDescent="0.25">
      <c r="A483">
        <v>482</v>
      </c>
      <c r="B483" t="s">
        <v>216</v>
      </c>
      <c r="C483" t="s">
        <v>219</v>
      </c>
      <c r="D483" t="s">
        <v>218</v>
      </c>
      <c r="E483" t="s">
        <v>220</v>
      </c>
      <c r="F483" t="s">
        <v>216</v>
      </c>
      <c r="G483" t="s">
        <v>221</v>
      </c>
    </row>
    <row r="484" spans="1:7" x14ac:dyDescent="0.25">
      <c r="A484">
        <v>483</v>
      </c>
      <c r="B484" t="s">
        <v>216</v>
      </c>
      <c r="C484" t="s">
        <v>221</v>
      </c>
      <c r="D484" t="s">
        <v>217</v>
      </c>
      <c r="E484" t="s">
        <v>217</v>
      </c>
      <c r="F484" t="s">
        <v>221</v>
      </c>
      <c r="G484" t="s">
        <v>221</v>
      </c>
    </row>
    <row r="485" spans="1:7" x14ac:dyDescent="0.25">
      <c r="A485">
        <v>484</v>
      </c>
      <c r="B485" t="s">
        <v>217</v>
      </c>
      <c r="C485" t="s">
        <v>217</v>
      </c>
      <c r="D485" t="s">
        <v>218</v>
      </c>
      <c r="E485" t="s">
        <v>219</v>
      </c>
      <c r="F485" t="s">
        <v>217</v>
      </c>
      <c r="G485" t="s">
        <v>221</v>
      </c>
    </row>
    <row r="486" spans="1:7" x14ac:dyDescent="0.25">
      <c r="A486">
        <v>485</v>
      </c>
      <c r="B486" t="s">
        <v>219</v>
      </c>
      <c r="C486" t="s">
        <v>216</v>
      </c>
      <c r="D486" t="s">
        <v>221</v>
      </c>
      <c r="E486" t="s">
        <v>216</v>
      </c>
      <c r="F486" t="s">
        <v>221</v>
      </c>
      <c r="G486" t="s">
        <v>216</v>
      </c>
    </row>
    <row r="487" spans="1:7" x14ac:dyDescent="0.25">
      <c r="A487">
        <v>486</v>
      </c>
      <c r="B487" t="s">
        <v>217</v>
      </c>
      <c r="C487" t="s">
        <v>217</v>
      </c>
      <c r="D487" t="s">
        <v>216</v>
      </c>
      <c r="E487" t="s">
        <v>217</v>
      </c>
      <c r="F487" t="s">
        <v>218</v>
      </c>
      <c r="G487" t="s">
        <v>220</v>
      </c>
    </row>
    <row r="488" spans="1:7" x14ac:dyDescent="0.25">
      <c r="A488">
        <v>487</v>
      </c>
      <c r="B488" t="s">
        <v>216</v>
      </c>
      <c r="C488" t="s">
        <v>220</v>
      </c>
      <c r="D488" t="s">
        <v>219</v>
      </c>
      <c r="E488" t="s">
        <v>221</v>
      </c>
      <c r="F488" t="s">
        <v>219</v>
      </c>
      <c r="G488" t="s">
        <v>216</v>
      </c>
    </row>
    <row r="489" spans="1:7" x14ac:dyDescent="0.25">
      <c r="A489">
        <v>488</v>
      </c>
      <c r="B489" t="s">
        <v>217</v>
      </c>
      <c r="C489" t="s">
        <v>216</v>
      </c>
      <c r="D489" t="s">
        <v>216</v>
      </c>
      <c r="E489" t="s">
        <v>218</v>
      </c>
      <c r="F489" t="s">
        <v>221</v>
      </c>
      <c r="G489" t="s">
        <v>221</v>
      </c>
    </row>
    <row r="490" spans="1:7" x14ac:dyDescent="0.25">
      <c r="A490">
        <v>489</v>
      </c>
      <c r="B490" t="s">
        <v>218</v>
      </c>
      <c r="C490" t="s">
        <v>221</v>
      </c>
      <c r="D490" t="s">
        <v>216</v>
      </c>
      <c r="E490" t="s">
        <v>216</v>
      </c>
      <c r="F490" t="s">
        <v>221</v>
      </c>
      <c r="G490" t="s">
        <v>218</v>
      </c>
    </row>
    <row r="491" spans="1:7" x14ac:dyDescent="0.25">
      <c r="A491">
        <v>490</v>
      </c>
      <c r="B491" t="s">
        <v>217</v>
      </c>
      <c r="C491" t="s">
        <v>216</v>
      </c>
      <c r="D491" t="s">
        <v>216</v>
      </c>
      <c r="E491" t="s">
        <v>217</v>
      </c>
      <c r="F491" t="s">
        <v>217</v>
      </c>
      <c r="G491" t="s">
        <v>216</v>
      </c>
    </row>
    <row r="492" spans="1:7" x14ac:dyDescent="0.25">
      <c r="A492">
        <v>491</v>
      </c>
      <c r="B492" t="s">
        <v>216</v>
      </c>
      <c r="C492" t="s">
        <v>221</v>
      </c>
      <c r="D492" t="s">
        <v>220</v>
      </c>
      <c r="E492" t="s">
        <v>221</v>
      </c>
      <c r="F492" t="s">
        <v>216</v>
      </c>
      <c r="G492" t="s">
        <v>221</v>
      </c>
    </row>
    <row r="493" spans="1:7" x14ac:dyDescent="0.25">
      <c r="A493">
        <v>492</v>
      </c>
      <c r="B493" t="s">
        <v>216</v>
      </c>
      <c r="C493" t="s">
        <v>216</v>
      </c>
      <c r="D493" t="s">
        <v>216</v>
      </c>
      <c r="E493" t="s">
        <v>216</v>
      </c>
      <c r="F493" t="s">
        <v>218</v>
      </c>
      <c r="G493" t="s">
        <v>220</v>
      </c>
    </row>
    <row r="494" spans="1:7" x14ac:dyDescent="0.25">
      <c r="A494">
        <v>493</v>
      </c>
      <c r="B494" t="s">
        <v>218</v>
      </c>
      <c r="C494" t="s">
        <v>218</v>
      </c>
      <c r="D494" t="s">
        <v>217</v>
      </c>
      <c r="E494" t="s">
        <v>216</v>
      </c>
      <c r="F494" t="s">
        <v>218</v>
      </c>
      <c r="G494" t="s">
        <v>221</v>
      </c>
    </row>
    <row r="495" spans="1:7" x14ac:dyDescent="0.25">
      <c r="A495">
        <v>494</v>
      </c>
      <c r="B495" t="s">
        <v>218</v>
      </c>
      <c r="C495" t="s">
        <v>216</v>
      </c>
      <c r="D495" t="s">
        <v>219</v>
      </c>
      <c r="E495" t="s">
        <v>221</v>
      </c>
      <c r="F495" t="s">
        <v>216</v>
      </c>
      <c r="G495" t="s">
        <v>221</v>
      </c>
    </row>
    <row r="496" spans="1:7" x14ac:dyDescent="0.25">
      <c r="A496">
        <v>495</v>
      </c>
      <c r="B496" t="s">
        <v>217</v>
      </c>
      <c r="C496" t="s">
        <v>219</v>
      </c>
      <c r="D496" t="s">
        <v>217</v>
      </c>
      <c r="E496" t="s">
        <v>217</v>
      </c>
      <c r="F496" t="s">
        <v>220</v>
      </c>
      <c r="G496" t="s">
        <v>217</v>
      </c>
    </row>
    <row r="497" spans="1:7" x14ac:dyDescent="0.25">
      <c r="A497">
        <v>496</v>
      </c>
      <c r="B497" t="s">
        <v>216</v>
      </c>
      <c r="C497" t="s">
        <v>218</v>
      </c>
      <c r="D497" t="s">
        <v>217</v>
      </c>
      <c r="E497" t="s">
        <v>217</v>
      </c>
      <c r="F497" t="s">
        <v>216</v>
      </c>
      <c r="G497" t="s">
        <v>221</v>
      </c>
    </row>
    <row r="498" spans="1:7" x14ac:dyDescent="0.25">
      <c r="A498">
        <v>497</v>
      </c>
      <c r="B498" t="s">
        <v>216</v>
      </c>
      <c r="C498" t="s">
        <v>221</v>
      </c>
      <c r="D498" t="s">
        <v>220</v>
      </c>
      <c r="E498" t="s">
        <v>221</v>
      </c>
      <c r="F498" t="s">
        <v>219</v>
      </c>
      <c r="G498" t="s">
        <v>221</v>
      </c>
    </row>
    <row r="499" spans="1:7" x14ac:dyDescent="0.25">
      <c r="A499">
        <v>498</v>
      </c>
      <c r="B499" t="s">
        <v>216</v>
      </c>
      <c r="C499" t="s">
        <v>216</v>
      </c>
      <c r="D499" t="s">
        <v>216</v>
      </c>
      <c r="E499" t="s">
        <v>221</v>
      </c>
      <c r="F499" t="s">
        <v>216</v>
      </c>
      <c r="G499" t="s">
        <v>221</v>
      </c>
    </row>
    <row r="500" spans="1:7" x14ac:dyDescent="0.25">
      <c r="A500">
        <v>499</v>
      </c>
      <c r="B500" t="s">
        <v>216</v>
      </c>
      <c r="C500" t="s">
        <v>216</v>
      </c>
      <c r="D500" t="s">
        <v>218</v>
      </c>
      <c r="E500" t="s">
        <v>221</v>
      </c>
      <c r="F500" t="s">
        <v>216</v>
      </c>
      <c r="G500" t="s">
        <v>221</v>
      </c>
    </row>
    <row r="501" spans="1:7" x14ac:dyDescent="0.25">
      <c r="A501">
        <v>500</v>
      </c>
      <c r="B501" t="s">
        <v>217</v>
      </c>
      <c r="C501" t="s">
        <v>218</v>
      </c>
      <c r="D501" t="s">
        <v>216</v>
      </c>
      <c r="E501" t="s">
        <v>221</v>
      </c>
      <c r="F501" t="s">
        <v>218</v>
      </c>
      <c r="G501" t="s">
        <v>217</v>
      </c>
    </row>
    <row r="502" spans="1:7" x14ac:dyDescent="0.25">
      <c r="A502">
        <v>501</v>
      </c>
      <c r="B502" t="s">
        <v>216</v>
      </c>
      <c r="C502" t="s">
        <v>216</v>
      </c>
      <c r="D502" t="s">
        <v>216</v>
      </c>
      <c r="E502" t="s">
        <v>219</v>
      </c>
      <c r="F502" t="s">
        <v>216</v>
      </c>
      <c r="G502" t="s">
        <v>221</v>
      </c>
    </row>
    <row r="503" spans="1:7" x14ac:dyDescent="0.25">
      <c r="A503">
        <v>502</v>
      </c>
      <c r="B503" t="s">
        <v>218</v>
      </c>
      <c r="C503" t="s">
        <v>218</v>
      </c>
      <c r="D503" t="s">
        <v>217</v>
      </c>
      <c r="E503" t="s">
        <v>221</v>
      </c>
      <c r="F503" t="s">
        <v>219</v>
      </c>
      <c r="G503" t="s">
        <v>221</v>
      </c>
    </row>
    <row r="504" spans="1:7" x14ac:dyDescent="0.25">
      <c r="A504">
        <v>503</v>
      </c>
      <c r="B504" t="s">
        <v>219</v>
      </c>
      <c r="C504" t="s">
        <v>221</v>
      </c>
      <c r="D504" t="s">
        <v>221</v>
      </c>
      <c r="E504" t="s">
        <v>221</v>
      </c>
      <c r="F504" t="s">
        <v>216</v>
      </c>
      <c r="G504" t="s">
        <v>221</v>
      </c>
    </row>
    <row r="505" spans="1:7" x14ac:dyDescent="0.25">
      <c r="A505">
        <v>504</v>
      </c>
      <c r="B505" t="s">
        <v>217</v>
      </c>
      <c r="C505" t="s">
        <v>220</v>
      </c>
      <c r="D505" t="s">
        <v>216</v>
      </c>
      <c r="E505" t="s">
        <v>219</v>
      </c>
      <c r="F505" t="s">
        <v>221</v>
      </c>
      <c r="G505" t="s">
        <v>218</v>
      </c>
    </row>
    <row r="506" spans="1:7" x14ac:dyDescent="0.25">
      <c r="A506">
        <v>505</v>
      </c>
      <c r="B506" t="s">
        <v>218</v>
      </c>
      <c r="C506" t="s">
        <v>217</v>
      </c>
      <c r="D506" t="s">
        <v>219</v>
      </c>
      <c r="E506" t="s">
        <v>221</v>
      </c>
      <c r="F506" t="s">
        <v>218</v>
      </c>
      <c r="G506" t="s">
        <v>221</v>
      </c>
    </row>
    <row r="507" spans="1:7" x14ac:dyDescent="0.25">
      <c r="A507">
        <v>506</v>
      </c>
      <c r="B507" t="s">
        <v>216</v>
      </c>
      <c r="C507" t="s">
        <v>216</v>
      </c>
      <c r="D507" t="s">
        <v>218</v>
      </c>
      <c r="E507" t="s">
        <v>221</v>
      </c>
      <c r="F507" t="s">
        <v>216</v>
      </c>
      <c r="G507" t="s">
        <v>221</v>
      </c>
    </row>
    <row r="508" spans="1:7" x14ac:dyDescent="0.25">
      <c r="A508">
        <v>507</v>
      </c>
      <c r="B508" t="s">
        <v>220</v>
      </c>
      <c r="C508" t="s">
        <v>217</v>
      </c>
      <c r="D508" t="s">
        <v>216</v>
      </c>
      <c r="E508" t="s">
        <v>216</v>
      </c>
      <c r="F508" t="s">
        <v>221</v>
      </c>
      <c r="G508" t="s">
        <v>221</v>
      </c>
    </row>
    <row r="509" spans="1:7" x14ac:dyDescent="0.25">
      <c r="A509">
        <v>508</v>
      </c>
      <c r="B509" t="s">
        <v>218</v>
      </c>
      <c r="C509" t="s">
        <v>219</v>
      </c>
      <c r="D509" t="s">
        <v>216</v>
      </c>
      <c r="E509" t="s">
        <v>216</v>
      </c>
      <c r="F509" t="s">
        <v>216</v>
      </c>
      <c r="G509" t="s">
        <v>221</v>
      </c>
    </row>
    <row r="510" spans="1:7" x14ac:dyDescent="0.25">
      <c r="A510">
        <v>509</v>
      </c>
      <c r="B510" t="s">
        <v>219</v>
      </c>
      <c r="C510" t="s">
        <v>216</v>
      </c>
      <c r="D510" t="s">
        <v>220</v>
      </c>
      <c r="E510" t="s">
        <v>218</v>
      </c>
      <c r="F510" t="s">
        <v>216</v>
      </c>
      <c r="G510" t="s">
        <v>218</v>
      </c>
    </row>
    <row r="511" spans="1:7" x14ac:dyDescent="0.25">
      <c r="A511">
        <v>510</v>
      </c>
      <c r="B511" t="s">
        <v>216</v>
      </c>
      <c r="C511" t="s">
        <v>218</v>
      </c>
      <c r="D511" t="s">
        <v>216</v>
      </c>
      <c r="E511" t="s">
        <v>216</v>
      </c>
      <c r="F511" t="s">
        <v>221</v>
      </c>
      <c r="G511" t="s">
        <v>221</v>
      </c>
    </row>
    <row r="512" spans="1:7" x14ac:dyDescent="0.25">
      <c r="A512">
        <v>511</v>
      </c>
      <c r="B512" t="s">
        <v>221</v>
      </c>
      <c r="C512" t="s">
        <v>218</v>
      </c>
      <c r="D512" t="s">
        <v>221</v>
      </c>
      <c r="E512" t="s">
        <v>221</v>
      </c>
      <c r="F512" t="s">
        <v>221</v>
      </c>
      <c r="G512" t="s">
        <v>221</v>
      </c>
    </row>
    <row r="513" spans="1:7" x14ac:dyDescent="0.25">
      <c r="A513">
        <v>512</v>
      </c>
      <c r="B513" t="s">
        <v>216</v>
      </c>
      <c r="C513" t="s">
        <v>217</v>
      </c>
      <c r="D513" t="s">
        <v>216</v>
      </c>
      <c r="E513" t="s">
        <v>221</v>
      </c>
      <c r="F513" t="s">
        <v>217</v>
      </c>
      <c r="G513" t="s">
        <v>221</v>
      </c>
    </row>
    <row r="514" spans="1:7" x14ac:dyDescent="0.25">
      <c r="A514">
        <v>513</v>
      </c>
      <c r="B514" t="s">
        <v>221</v>
      </c>
      <c r="C514" t="s">
        <v>216</v>
      </c>
      <c r="D514" t="s">
        <v>221</v>
      </c>
      <c r="E514" t="s">
        <v>218</v>
      </c>
      <c r="F514" t="s">
        <v>221</v>
      </c>
      <c r="G514" t="s">
        <v>221</v>
      </c>
    </row>
    <row r="515" spans="1:7" x14ac:dyDescent="0.25">
      <c r="A515">
        <v>514</v>
      </c>
      <c r="B515" t="s">
        <v>217</v>
      </c>
      <c r="C515" t="s">
        <v>218</v>
      </c>
      <c r="D515" t="s">
        <v>218</v>
      </c>
      <c r="E515" t="s">
        <v>217</v>
      </c>
      <c r="F515" t="s">
        <v>217</v>
      </c>
      <c r="G515" t="s">
        <v>221</v>
      </c>
    </row>
    <row r="516" spans="1:7" x14ac:dyDescent="0.25">
      <c r="A516">
        <v>515</v>
      </c>
      <c r="B516" t="s">
        <v>216</v>
      </c>
      <c r="C516" t="s">
        <v>217</v>
      </c>
      <c r="D516" t="s">
        <v>216</v>
      </c>
      <c r="E516" t="s">
        <v>216</v>
      </c>
      <c r="F516" t="s">
        <v>221</v>
      </c>
      <c r="G516" t="s">
        <v>217</v>
      </c>
    </row>
    <row r="517" spans="1:7" x14ac:dyDescent="0.25">
      <c r="A517">
        <v>516</v>
      </c>
      <c r="B517" t="s">
        <v>216</v>
      </c>
      <c r="C517" t="s">
        <v>216</v>
      </c>
      <c r="D517" t="s">
        <v>216</v>
      </c>
      <c r="E517" t="s">
        <v>216</v>
      </c>
      <c r="F517" t="s">
        <v>221</v>
      </c>
      <c r="G517" t="s">
        <v>220</v>
      </c>
    </row>
    <row r="518" spans="1:7" x14ac:dyDescent="0.25">
      <c r="A518">
        <v>517</v>
      </c>
      <c r="B518" t="s">
        <v>220</v>
      </c>
      <c r="C518" t="s">
        <v>216</v>
      </c>
      <c r="D518" t="s">
        <v>216</v>
      </c>
      <c r="E518" t="s">
        <v>218</v>
      </c>
      <c r="F518" t="s">
        <v>218</v>
      </c>
      <c r="G518" t="s">
        <v>221</v>
      </c>
    </row>
    <row r="519" spans="1:7" x14ac:dyDescent="0.25">
      <c r="A519">
        <v>518</v>
      </c>
      <c r="B519" t="s">
        <v>216</v>
      </c>
      <c r="C519" t="s">
        <v>219</v>
      </c>
      <c r="D519" t="s">
        <v>216</v>
      </c>
      <c r="E519" t="s">
        <v>220</v>
      </c>
      <c r="F519" t="s">
        <v>221</v>
      </c>
      <c r="G519" t="s">
        <v>219</v>
      </c>
    </row>
    <row r="520" spans="1:7" x14ac:dyDescent="0.25">
      <c r="A520">
        <v>519</v>
      </c>
      <c r="B520" t="s">
        <v>217</v>
      </c>
      <c r="C520" t="s">
        <v>219</v>
      </c>
      <c r="D520" t="s">
        <v>219</v>
      </c>
      <c r="E520" t="s">
        <v>221</v>
      </c>
      <c r="F520" t="s">
        <v>216</v>
      </c>
      <c r="G520" t="s">
        <v>221</v>
      </c>
    </row>
    <row r="521" spans="1:7" x14ac:dyDescent="0.25">
      <c r="A521">
        <v>520</v>
      </c>
      <c r="B521" t="s">
        <v>219</v>
      </c>
      <c r="C521" t="s">
        <v>216</v>
      </c>
      <c r="D521" t="s">
        <v>219</v>
      </c>
      <c r="E521" t="s">
        <v>220</v>
      </c>
      <c r="F521" t="s">
        <v>218</v>
      </c>
      <c r="G521" t="s">
        <v>221</v>
      </c>
    </row>
    <row r="522" spans="1:7" x14ac:dyDescent="0.25">
      <c r="A522">
        <v>521</v>
      </c>
      <c r="B522" t="s">
        <v>218</v>
      </c>
      <c r="C522" t="s">
        <v>216</v>
      </c>
      <c r="D522" t="s">
        <v>219</v>
      </c>
      <c r="E522" t="s">
        <v>221</v>
      </c>
      <c r="F522" t="s">
        <v>216</v>
      </c>
      <c r="G522" t="s">
        <v>221</v>
      </c>
    </row>
    <row r="523" spans="1:7" x14ac:dyDescent="0.25">
      <c r="A523">
        <v>522</v>
      </c>
      <c r="B523" t="s">
        <v>216</v>
      </c>
      <c r="C523" t="s">
        <v>218</v>
      </c>
      <c r="D523" t="s">
        <v>216</v>
      </c>
      <c r="E523" t="s">
        <v>217</v>
      </c>
      <c r="F523" t="s">
        <v>221</v>
      </c>
      <c r="G523" t="s">
        <v>217</v>
      </c>
    </row>
    <row r="524" spans="1:7" x14ac:dyDescent="0.25">
      <c r="A524">
        <v>523</v>
      </c>
      <c r="B524" t="s">
        <v>216</v>
      </c>
      <c r="C524" t="s">
        <v>220</v>
      </c>
      <c r="D524" t="s">
        <v>220</v>
      </c>
      <c r="E524" t="s">
        <v>217</v>
      </c>
      <c r="F524" t="s">
        <v>221</v>
      </c>
      <c r="G524" t="s">
        <v>221</v>
      </c>
    </row>
    <row r="525" spans="1:7" x14ac:dyDescent="0.25">
      <c r="A525">
        <v>524</v>
      </c>
      <c r="B525" t="s">
        <v>217</v>
      </c>
      <c r="C525" t="s">
        <v>216</v>
      </c>
      <c r="D525" t="s">
        <v>221</v>
      </c>
      <c r="E525" t="s">
        <v>221</v>
      </c>
      <c r="F525" t="s">
        <v>217</v>
      </c>
      <c r="G525" t="s">
        <v>218</v>
      </c>
    </row>
    <row r="526" spans="1:7" x14ac:dyDescent="0.25">
      <c r="A526">
        <v>525</v>
      </c>
      <c r="B526" t="s">
        <v>216</v>
      </c>
      <c r="C526" t="s">
        <v>217</v>
      </c>
      <c r="D526" t="s">
        <v>217</v>
      </c>
      <c r="E526" t="s">
        <v>221</v>
      </c>
      <c r="F526" t="s">
        <v>221</v>
      </c>
      <c r="G526" t="s">
        <v>219</v>
      </c>
    </row>
    <row r="527" spans="1:7" x14ac:dyDescent="0.25">
      <c r="A527">
        <v>526</v>
      </c>
      <c r="B527" t="s">
        <v>220</v>
      </c>
      <c r="C527" t="s">
        <v>221</v>
      </c>
      <c r="D527" t="s">
        <v>217</v>
      </c>
      <c r="E527" t="s">
        <v>220</v>
      </c>
      <c r="F527" t="s">
        <v>217</v>
      </c>
      <c r="G527" t="s">
        <v>221</v>
      </c>
    </row>
    <row r="528" spans="1:7" x14ac:dyDescent="0.25">
      <c r="A528">
        <v>527</v>
      </c>
      <c r="B528" t="s">
        <v>216</v>
      </c>
      <c r="C528" t="s">
        <v>218</v>
      </c>
      <c r="D528" t="s">
        <v>219</v>
      </c>
      <c r="E528" t="s">
        <v>221</v>
      </c>
      <c r="F528" t="s">
        <v>219</v>
      </c>
      <c r="G528" t="s">
        <v>216</v>
      </c>
    </row>
    <row r="529" spans="1:7" x14ac:dyDescent="0.25">
      <c r="A529">
        <v>528</v>
      </c>
      <c r="B529" t="s">
        <v>216</v>
      </c>
      <c r="C529" t="s">
        <v>221</v>
      </c>
      <c r="D529" t="s">
        <v>216</v>
      </c>
      <c r="E529" t="s">
        <v>221</v>
      </c>
      <c r="F529" t="s">
        <v>221</v>
      </c>
      <c r="G529" t="s">
        <v>218</v>
      </c>
    </row>
    <row r="530" spans="1:7" x14ac:dyDescent="0.25">
      <c r="A530">
        <v>529</v>
      </c>
      <c r="B530" t="s">
        <v>216</v>
      </c>
      <c r="C530" t="s">
        <v>217</v>
      </c>
      <c r="D530" t="s">
        <v>221</v>
      </c>
      <c r="E530" t="s">
        <v>218</v>
      </c>
      <c r="F530" t="s">
        <v>216</v>
      </c>
      <c r="G530" t="s">
        <v>221</v>
      </c>
    </row>
    <row r="531" spans="1:7" x14ac:dyDescent="0.25">
      <c r="A531">
        <v>530</v>
      </c>
      <c r="B531" t="s">
        <v>218</v>
      </c>
      <c r="C531" t="s">
        <v>216</v>
      </c>
      <c r="D531" t="s">
        <v>216</v>
      </c>
      <c r="E531" t="s">
        <v>216</v>
      </c>
      <c r="F531" t="s">
        <v>218</v>
      </c>
      <c r="G531" t="s">
        <v>221</v>
      </c>
    </row>
    <row r="532" spans="1:7" x14ac:dyDescent="0.25">
      <c r="A532">
        <v>531</v>
      </c>
      <c r="B532" t="s">
        <v>216</v>
      </c>
      <c r="C532" t="s">
        <v>217</v>
      </c>
      <c r="D532" t="s">
        <v>218</v>
      </c>
      <c r="E532" t="s">
        <v>221</v>
      </c>
      <c r="F532" t="s">
        <v>216</v>
      </c>
      <c r="G532" t="s">
        <v>216</v>
      </c>
    </row>
    <row r="533" spans="1:7" x14ac:dyDescent="0.25">
      <c r="A533">
        <v>532</v>
      </c>
      <c r="B533" t="s">
        <v>221</v>
      </c>
      <c r="C533" t="s">
        <v>219</v>
      </c>
      <c r="D533" t="s">
        <v>219</v>
      </c>
      <c r="E533" t="s">
        <v>216</v>
      </c>
      <c r="F533" t="s">
        <v>217</v>
      </c>
      <c r="G533" t="s">
        <v>221</v>
      </c>
    </row>
    <row r="534" spans="1:7" x14ac:dyDescent="0.25">
      <c r="A534">
        <v>533</v>
      </c>
      <c r="B534" t="s">
        <v>218</v>
      </c>
      <c r="C534" t="s">
        <v>219</v>
      </c>
      <c r="D534" t="s">
        <v>217</v>
      </c>
      <c r="E534" t="s">
        <v>221</v>
      </c>
      <c r="F534" t="s">
        <v>221</v>
      </c>
      <c r="G534" t="s">
        <v>221</v>
      </c>
    </row>
    <row r="535" spans="1:7" x14ac:dyDescent="0.25">
      <c r="A535">
        <v>534</v>
      </c>
      <c r="B535" t="s">
        <v>216</v>
      </c>
      <c r="C535" t="s">
        <v>220</v>
      </c>
      <c r="D535" t="s">
        <v>221</v>
      </c>
      <c r="E535" t="s">
        <v>221</v>
      </c>
      <c r="F535" t="s">
        <v>221</v>
      </c>
      <c r="G535" t="s">
        <v>217</v>
      </c>
    </row>
    <row r="536" spans="1:7" x14ac:dyDescent="0.25">
      <c r="A536">
        <v>535</v>
      </c>
      <c r="B536" t="s">
        <v>217</v>
      </c>
      <c r="C536" t="s">
        <v>216</v>
      </c>
      <c r="D536" t="s">
        <v>217</v>
      </c>
      <c r="E536" t="s">
        <v>221</v>
      </c>
      <c r="F536" t="s">
        <v>220</v>
      </c>
      <c r="G536" t="s">
        <v>221</v>
      </c>
    </row>
    <row r="537" spans="1:7" x14ac:dyDescent="0.25">
      <c r="A537">
        <v>536</v>
      </c>
      <c r="B537" t="s">
        <v>218</v>
      </c>
      <c r="C537" t="s">
        <v>216</v>
      </c>
      <c r="D537" t="s">
        <v>219</v>
      </c>
      <c r="E537" t="s">
        <v>220</v>
      </c>
      <c r="F537" t="s">
        <v>221</v>
      </c>
      <c r="G537" t="s">
        <v>221</v>
      </c>
    </row>
    <row r="538" spans="1:7" x14ac:dyDescent="0.25">
      <c r="A538">
        <v>537</v>
      </c>
      <c r="B538" t="s">
        <v>217</v>
      </c>
      <c r="C538" t="s">
        <v>216</v>
      </c>
      <c r="D538" t="s">
        <v>218</v>
      </c>
      <c r="E538" t="s">
        <v>221</v>
      </c>
      <c r="F538" t="s">
        <v>221</v>
      </c>
      <c r="G538" t="s">
        <v>218</v>
      </c>
    </row>
    <row r="539" spans="1:7" x14ac:dyDescent="0.25">
      <c r="A539">
        <v>538</v>
      </c>
      <c r="B539" t="s">
        <v>220</v>
      </c>
      <c r="C539" t="s">
        <v>216</v>
      </c>
      <c r="D539" t="s">
        <v>217</v>
      </c>
      <c r="E539" t="s">
        <v>219</v>
      </c>
      <c r="F539" t="s">
        <v>221</v>
      </c>
      <c r="G539" t="s">
        <v>221</v>
      </c>
    </row>
    <row r="540" spans="1:7" x14ac:dyDescent="0.25">
      <c r="A540">
        <v>539</v>
      </c>
      <c r="B540" t="s">
        <v>216</v>
      </c>
      <c r="C540" t="s">
        <v>221</v>
      </c>
      <c r="D540" t="s">
        <v>218</v>
      </c>
      <c r="E540" t="s">
        <v>217</v>
      </c>
      <c r="F540" t="s">
        <v>218</v>
      </c>
      <c r="G540" t="s">
        <v>221</v>
      </c>
    </row>
    <row r="541" spans="1:7" x14ac:dyDescent="0.25">
      <c r="A541">
        <v>540</v>
      </c>
      <c r="B541" t="s">
        <v>217</v>
      </c>
      <c r="C541" t="s">
        <v>217</v>
      </c>
      <c r="D541" t="s">
        <v>217</v>
      </c>
      <c r="E541" t="s">
        <v>221</v>
      </c>
      <c r="F541" t="s">
        <v>221</v>
      </c>
      <c r="G541" t="s">
        <v>221</v>
      </c>
    </row>
    <row r="542" spans="1:7" x14ac:dyDescent="0.25">
      <c r="A542">
        <v>541</v>
      </c>
      <c r="B542" t="s">
        <v>216</v>
      </c>
      <c r="C542" t="s">
        <v>217</v>
      </c>
      <c r="D542" t="s">
        <v>216</v>
      </c>
      <c r="E542" t="s">
        <v>216</v>
      </c>
      <c r="F542" t="s">
        <v>221</v>
      </c>
      <c r="G542" t="s">
        <v>219</v>
      </c>
    </row>
    <row r="543" spans="1:7" x14ac:dyDescent="0.25">
      <c r="A543">
        <v>542</v>
      </c>
      <c r="B543" t="s">
        <v>216</v>
      </c>
      <c r="C543" t="s">
        <v>221</v>
      </c>
      <c r="D543" t="s">
        <v>217</v>
      </c>
      <c r="E543" t="s">
        <v>217</v>
      </c>
      <c r="F543" t="s">
        <v>218</v>
      </c>
      <c r="G543" t="s">
        <v>217</v>
      </c>
    </row>
    <row r="544" spans="1:7" x14ac:dyDescent="0.25">
      <c r="A544">
        <v>543</v>
      </c>
      <c r="B544" t="s">
        <v>218</v>
      </c>
      <c r="C544" t="s">
        <v>217</v>
      </c>
      <c r="D544" t="s">
        <v>221</v>
      </c>
      <c r="E544" t="s">
        <v>221</v>
      </c>
      <c r="F544" t="s">
        <v>217</v>
      </c>
      <c r="G544" t="s">
        <v>221</v>
      </c>
    </row>
    <row r="545" spans="1:7" x14ac:dyDescent="0.25">
      <c r="A545">
        <v>544</v>
      </c>
      <c r="B545" t="s">
        <v>217</v>
      </c>
      <c r="C545" t="s">
        <v>220</v>
      </c>
      <c r="D545" t="s">
        <v>216</v>
      </c>
      <c r="E545" t="s">
        <v>221</v>
      </c>
      <c r="F545" t="s">
        <v>220</v>
      </c>
      <c r="G545" t="s">
        <v>219</v>
      </c>
    </row>
    <row r="546" spans="1:7" x14ac:dyDescent="0.25">
      <c r="A546">
        <v>545</v>
      </c>
      <c r="B546" t="s">
        <v>219</v>
      </c>
      <c r="C546" t="s">
        <v>218</v>
      </c>
      <c r="D546" t="s">
        <v>216</v>
      </c>
      <c r="E546" t="s">
        <v>218</v>
      </c>
      <c r="F546" t="s">
        <v>221</v>
      </c>
      <c r="G546" t="s">
        <v>216</v>
      </c>
    </row>
    <row r="547" spans="1:7" x14ac:dyDescent="0.25">
      <c r="A547">
        <v>546</v>
      </c>
      <c r="B547" t="s">
        <v>218</v>
      </c>
      <c r="C547" t="s">
        <v>221</v>
      </c>
      <c r="D547" t="s">
        <v>220</v>
      </c>
      <c r="E547" t="s">
        <v>217</v>
      </c>
      <c r="F547" t="s">
        <v>221</v>
      </c>
      <c r="G547" t="s">
        <v>217</v>
      </c>
    </row>
    <row r="548" spans="1:7" x14ac:dyDescent="0.25">
      <c r="A548">
        <v>547</v>
      </c>
      <c r="B548" t="s">
        <v>216</v>
      </c>
      <c r="C548" t="s">
        <v>218</v>
      </c>
      <c r="D548" t="s">
        <v>218</v>
      </c>
      <c r="E548" t="s">
        <v>218</v>
      </c>
      <c r="F548" t="s">
        <v>219</v>
      </c>
      <c r="G548" t="s">
        <v>217</v>
      </c>
    </row>
    <row r="549" spans="1:7" x14ac:dyDescent="0.25">
      <c r="A549">
        <v>548</v>
      </c>
      <c r="B549" t="s">
        <v>216</v>
      </c>
      <c r="C549" t="s">
        <v>216</v>
      </c>
      <c r="D549" t="s">
        <v>217</v>
      </c>
      <c r="E549" t="s">
        <v>217</v>
      </c>
      <c r="F549" t="s">
        <v>217</v>
      </c>
      <c r="G549" t="s">
        <v>221</v>
      </c>
    </row>
    <row r="550" spans="1:7" x14ac:dyDescent="0.25">
      <c r="A550">
        <v>549</v>
      </c>
      <c r="B550" t="s">
        <v>216</v>
      </c>
      <c r="C550" t="s">
        <v>216</v>
      </c>
      <c r="D550" t="s">
        <v>217</v>
      </c>
      <c r="E550" t="s">
        <v>217</v>
      </c>
      <c r="F550" t="s">
        <v>221</v>
      </c>
      <c r="G550" t="s">
        <v>218</v>
      </c>
    </row>
    <row r="551" spans="1:7" x14ac:dyDescent="0.25">
      <c r="A551">
        <v>550</v>
      </c>
      <c r="B551" t="s">
        <v>216</v>
      </c>
      <c r="C551" t="s">
        <v>220</v>
      </c>
      <c r="D551" t="s">
        <v>219</v>
      </c>
      <c r="E551" t="s">
        <v>216</v>
      </c>
      <c r="F551" t="s">
        <v>219</v>
      </c>
      <c r="G551" t="s">
        <v>221</v>
      </c>
    </row>
    <row r="552" spans="1:7" x14ac:dyDescent="0.25">
      <c r="A552">
        <v>551</v>
      </c>
      <c r="B552" t="s">
        <v>217</v>
      </c>
      <c r="C552" t="s">
        <v>218</v>
      </c>
      <c r="D552" t="s">
        <v>217</v>
      </c>
      <c r="E552" t="s">
        <v>221</v>
      </c>
      <c r="F552" t="s">
        <v>221</v>
      </c>
      <c r="G552" t="s">
        <v>221</v>
      </c>
    </row>
    <row r="553" spans="1:7" x14ac:dyDescent="0.25">
      <c r="A553">
        <v>552</v>
      </c>
      <c r="B553" t="s">
        <v>218</v>
      </c>
      <c r="C553" t="s">
        <v>217</v>
      </c>
      <c r="D553" t="s">
        <v>219</v>
      </c>
      <c r="E553" t="s">
        <v>216</v>
      </c>
      <c r="F553" t="s">
        <v>218</v>
      </c>
      <c r="G553" t="s">
        <v>216</v>
      </c>
    </row>
    <row r="554" spans="1:7" x14ac:dyDescent="0.25">
      <c r="A554">
        <v>553</v>
      </c>
      <c r="B554" t="s">
        <v>216</v>
      </c>
      <c r="C554" t="s">
        <v>216</v>
      </c>
      <c r="D554" t="s">
        <v>221</v>
      </c>
      <c r="E554" t="s">
        <v>216</v>
      </c>
      <c r="F554" t="s">
        <v>216</v>
      </c>
      <c r="G554" t="s">
        <v>221</v>
      </c>
    </row>
    <row r="555" spans="1:7" x14ac:dyDescent="0.25">
      <c r="A555">
        <v>554</v>
      </c>
      <c r="B555" t="s">
        <v>216</v>
      </c>
      <c r="C555" t="s">
        <v>218</v>
      </c>
      <c r="D555" t="s">
        <v>221</v>
      </c>
      <c r="E555" t="s">
        <v>221</v>
      </c>
      <c r="F555" t="s">
        <v>216</v>
      </c>
      <c r="G555" t="s">
        <v>221</v>
      </c>
    </row>
    <row r="556" spans="1:7" x14ac:dyDescent="0.25">
      <c r="A556">
        <v>555</v>
      </c>
      <c r="B556" t="s">
        <v>216</v>
      </c>
      <c r="C556" t="s">
        <v>216</v>
      </c>
      <c r="D556" t="s">
        <v>216</v>
      </c>
      <c r="E556" t="s">
        <v>219</v>
      </c>
      <c r="F556" t="s">
        <v>221</v>
      </c>
      <c r="G556" t="s">
        <v>216</v>
      </c>
    </row>
    <row r="557" spans="1:7" x14ac:dyDescent="0.25">
      <c r="A557">
        <v>556</v>
      </c>
      <c r="B557" t="s">
        <v>216</v>
      </c>
      <c r="C557" t="s">
        <v>216</v>
      </c>
      <c r="D557" t="s">
        <v>221</v>
      </c>
      <c r="E557" t="s">
        <v>220</v>
      </c>
      <c r="F557" t="s">
        <v>216</v>
      </c>
      <c r="G557" t="s">
        <v>216</v>
      </c>
    </row>
    <row r="558" spans="1:7" x14ac:dyDescent="0.25">
      <c r="A558">
        <v>557</v>
      </c>
      <c r="B558" t="s">
        <v>220</v>
      </c>
      <c r="C558" t="s">
        <v>216</v>
      </c>
      <c r="D558" t="s">
        <v>216</v>
      </c>
      <c r="E558" t="s">
        <v>221</v>
      </c>
      <c r="F558" t="s">
        <v>221</v>
      </c>
      <c r="G558" t="s">
        <v>216</v>
      </c>
    </row>
    <row r="559" spans="1:7" x14ac:dyDescent="0.25">
      <c r="A559">
        <v>558</v>
      </c>
      <c r="B559" t="s">
        <v>216</v>
      </c>
      <c r="C559" t="s">
        <v>217</v>
      </c>
      <c r="D559" t="s">
        <v>218</v>
      </c>
      <c r="E559" t="s">
        <v>221</v>
      </c>
      <c r="F559" t="s">
        <v>221</v>
      </c>
      <c r="G559" t="s">
        <v>220</v>
      </c>
    </row>
    <row r="560" spans="1:7" x14ac:dyDescent="0.25">
      <c r="A560">
        <v>559</v>
      </c>
      <c r="B560" t="s">
        <v>219</v>
      </c>
      <c r="C560" t="s">
        <v>217</v>
      </c>
      <c r="D560" t="s">
        <v>221</v>
      </c>
      <c r="E560" t="s">
        <v>216</v>
      </c>
      <c r="F560" t="s">
        <v>221</v>
      </c>
      <c r="G560" t="s">
        <v>216</v>
      </c>
    </row>
    <row r="561" spans="1:7" x14ac:dyDescent="0.25">
      <c r="A561">
        <v>560</v>
      </c>
      <c r="B561" t="s">
        <v>220</v>
      </c>
      <c r="C561" t="s">
        <v>217</v>
      </c>
      <c r="D561" t="s">
        <v>217</v>
      </c>
      <c r="E561" t="s">
        <v>216</v>
      </c>
      <c r="F561" t="s">
        <v>221</v>
      </c>
      <c r="G561" t="s">
        <v>221</v>
      </c>
    </row>
    <row r="562" spans="1:7" x14ac:dyDescent="0.25">
      <c r="A562">
        <v>561</v>
      </c>
      <c r="B562" t="s">
        <v>216</v>
      </c>
      <c r="C562" t="s">
        <v>220</v>
      </c>
      <c r="D562" t="s">
        <v>216</v>
      </c>
      <c r="E562" t="s">
        <v>221</v>
      </c>
      <c r="F562" t="s">
        <v>221</v>
      </c>
      <c r="G562" t="s">
        <v>216</v>
      </c>
    </row>
    <row r="563" spans="1:7" x14ac:dyDescent="0.25">
      <c r="A563">
        <v>562</v>
      </c>
      <c r="B563" t="s">
        <v>216</v>
      </c>
      <c r="C563" t="s">
        <v>218</v>
      </c>
      <c r="D563" t="s">
        <v>216</v>
      </c>
      <c r="E563" t="s">
        <v>218</v>
      </c>
      <c r="F563" t="s">
        <v>216</v>
      </c>
      <c r="G563" t="s">
        <v>217</v>
      </c>
    </row>
    <row r="564" spans="1:7" x14ac:dyDescent="0.25">
      <c r="A564">
        <v>563</v>
      </c>
      <c r="B564" t="s">
        <v>218</v>
      </c>
      <c r="C564" t="s">
        <v>216</v>
      </c>
      <c r="D564" t="s">
        <v>217</v>
      </c>
      <c r="E564" t="s">
        <v>221</v>
      </c>
      <c r="F564" t="s">
        <v>216</v>
      </c>
      <c r="G564" t="s">
        <v>221</v>
      </c>
    </row>
    <row r="565" spans="1:7" x14ac:dyDescent="0.25">
      <c r="A565">
        <v>564</v>
      </c>
      <c r="B565" t="s">
        <v>218</v>
      </c>
      <c r="C565" t="s">
        <v>217</v>
      </c>
      <c r="D565" t="s">
        <v>216</v>
      </c>
      <c r="E565" t="s">
        <v>221</v>
      </c>
      <c r="F565" t="s">
        <v>221</v>
      </c>
      <c r="G565" t="s">
        <v>221</v>
      </c>
    </row>
    <row r="566" spans="1:7" x14ac:dyDescent="0.25">
      <c r="A566">
        <v>565</v>
      </c>
      <c r="B566" t="s">
        <v>216</v>
      </c>
      <c r="C566" t="s">
        <v>216</v>
      </c>
      <c r="D566" t="s">
        <v>219</v>
      </c>
      <c r="E566" t="s">
        <v>216</v>
      </c>
      <c r="F566" t="s">
        <v>217</v>
      </c>
      <c r="G566" t="s">
        <v>217</v>
      </c>
    </row>
    <row r="567" spans="1:7" x14ac:dyDescent="0.25">
      <c r="A567">
        <v>566</v>
      </c>
      <c r="B567" t="s">
        <v>217</v>
      </c>
      <c r="C567" t="s">
        <v>221</v>
      </c>
      <c r="D567" t="s">
        <v>216</v>
      </c>
      <c r="E567" t="s">
        <v>216</v>
      </c>
      <c r="F567" t="s">
        <v>219</v>
      </c>
      <c r="G567" t="s">
        <v>216</v>
      </c>
    </row>
    <row r="568" spans="1:7" x14ac:dyDescent="0.25">
      <c r="A568">
        <v>567</v>
      </c>
      <c r="B568" t="s">
        <v>220</v>
      </c>
      <c r="C568" t="s">
        <v>217</v>
      </c>
      <c r="D568" t="s">
        <v>218</v>
      </c>
      <c r="E568" t="s">
        <v>221</v>
      </c>
      <c r="F568" t="s">
        <v>216</v>
      </c>
      <c r="G568" t="s">
        <v>216</v>
      </c>
    </row>
    <row r="569" spans="1:7" x14ac:dyDescent="0.25">
      <c r="A569">
        <v>568</v>
      </c>
      <c r="B569" t="s">
        <v>219</v>
      </c>
      <c r="C569" t="s">
        <v>216</v>
      </c>
      <c r="D569" t="s">
        <v>221</v>
      </c>
      <c r="E569" t="s">
        <v>221</v>
      </c>
      <c r="F569" t="s">
        <v>217</v>
      </c>
      <c r="G569" t="s">
        <v>221</v>
      </c>
    </row>
    <row r="570" spans="1:7" x14ac:dyDescent="0.25">
      <c r="A570">
        <v>569</v>
      </c>
      <c r="B570" t="s">
        <v>217</v>
      </c>
      <c r="C570" t="s">
        <v>217</v>
      </c>
      <c r="D570" t="s">
        <v>218</v>
      </c>
      <c r="E570" t="s">
        <v>220</v>
      </c>
      <c r="F570" t="s">
        <v>218</v>
      </c>
      <c r="G570" t="s">
        <v>216</v>
      </c>
    </row>
    <row r="571" spans="1:7" x14ac:dyDescent="0.25">
      <c r="A571">
        <v>570</v>
      </c>
      <c r="B571" t="s">
        <v>217</v>
      </c>
      <c r="C571" t="s">
        <v>219</v>
      </c>
      <c r="D571" t="s">
        <v>221</v>
      </c>
      <c r="E571" t="s">
        <v>218</v>
      </c>
      <c r="F571" t="s">
        <v>218</v>
      </c>
      <c r="G571" t="s">
        <v>221</v>
      </c>
    </row>
    <row r="572" spans="1:7" x14ac:dyDescent="0.25">
      <c r="A572">
        <v>571</v>
      </c>
      <c r="B572" t="s">
        <v>218</v>
      </c>
      <c r="C572" t="s">
        <v>219</v>
      </c>
      <c r="D572" t="s">
        <v>220</v>
      </c>
      <c r="E572" t="s">
        <v>221</v>
      </c>
      <c r="F572" t="s">
        <v>221</v>
      </c>
      <c r="G572" t="s">
        <v>217</v>
      </c>
    </row>
    <row r="573" spans="1:7" x14ac:dyDescent="0.25">
      <c r="A573">
        <v>572</v>
      </c>
      <c r="B573" t="s">
        <v>218</v>
      </c>
      <c r="C573" t="s">
        <v>218</v>
      </c>
      <c r="D573" t="s">
        <v>217</v>
      </c>
      <c r="E573" t="s">
        <v>221</v>
      </c>
      <c r="F573" t="s">
        <v>216</v>
      </c>
      <c r="G573" t="s">
        <v>216</v>
      </c>
    </row>
    <row r="574" spans="1:7" x14ac:dyDescent="0.25">
      <c r="A574">
        <v>573</v>
      </c>
      <c r="B574" t="s">
        <v>219</v>
      </c>
      <c r="C574" t="s">
        <v>219</v>
      </c>
      <c r="D574" t="s">
        <v>217</v>
      </c>
      <c r="E574" t="s">
        <v>221</v>
      </c>
      <c r="F574" t="s">
        <v>217</v>
      </c>
      <c r="G574" t="s">
        <v>221</v>
      </c>
    </row>
    <row r="575" spans="1:7" x14ac:dyDescent="0.25">
      <c r="A575">
        <v>574</v>
      </c>
      <c r="B575" t="s">
        <v>217</v>
      </c>
      <c r="C575" t="s">
        <v>218</v>
      </c>
      <c r="D575" t="s">
        <v>221</v>
      </c>
      <c r="E575" t="s">
        <v>219</v>
      </c>
      <c r="F575" t="s">
        <v>216</v>
      </c>
      <c r="G575" t="s">
        <v>220</v>
      </c>
    </row>
    <row r="576" spans="1:7" x14ac:dyDescent="0.25">
      <c r="A576">
        <v>575</v>
      </c>
      <c r="B576" t="s">
        <v>220</v>
      </c>
      <c r="C576" t="s">
        <v>216</v>
      </c>
      <c r="D576" t="s">
        <v>216</v>
      </c>
      <c r="E576" t="s">
        <v>216</v>
      </c>
      <c r="F576" t="s">
        <v>221</v>
      </c>
      <c r="G576" t="s">
        <v>218</v>
      </c>
    </row>
    <row r="577" spans="1:7" x14ac:dyDescent="0.25">
      <c r="A577">
        <v>576</v>
      </c>
      <c r="B577" t="s">
        <v>216</v>
      </c>
      <c r="C577" t="s">
        <v>221</v>
      </c>
      <c r="D577" t="s">
        <v>216</v>
      </c>
      <c r="E577" t="s">
        <v>220</v>
      </c>
      <c r="F577" t="s">
        <v>221</v>
      </c>
      <c r="G577" t="s">
        <v>221</v>
      </c>
    </row>
    <row r="578" spans="1:7" x14ac:dyDescent="0.25">
      <c r="A578">
        <v>577</v>
      </c>
      <c r="B578" t="s">
        <v>217</v>
      </c>
      <c r="C578" t="s">
        <v>219</v>
      </c>
      <c r="D578" t="s">
        <v>217</v>
      </c>
      <c r="E578" t="s">
        <v>221</v>
      </c>
      <c r="F578" t="s">
        <v>221</v>
      </c>
      <c r="G578" t="s">
        <v>221</v>
      </c>
    </row>
    <row r="579" spans="1:7" x14ac:dyDescent="0.25">
      <c r="A579">
        <v>578</v>
      </c>
      <c r="B579" t="s">
        <v>218</v>
      </c>
      <c r="C579" t="s">
        <v>220</v>
      </c>
      <c r="D579" t="s">
        <v>221</v>
      </c>
      <c r="E579" t="s">
        <v>221</v>
      </c>
      <c r="F579" t="s">
        <v>216</v>
      </c>
      <c r="G579" t="s">
        <v>220</v>
      </c>
    </row>
    <row r="580" spans="1:7" x14ac:dyDescent="0.25">
      <c r="A580">
        <v>579</v>
      </c>
      <c r="B580" t="s">
        <v>219</v>
      </c>
      <c r="C580" t="s">
        <v>220</v>
      </c>
      <c r="D580" t="s">
        <v>220</v>
      </c>
      <c r="E580" t="s">
        <v>221</v>
      </c>
      <c r="F580" t="s">
        <v>216</v>
      </c>
      <c r="G580" t="s">
        <v>217</v>
      </c>
    </row>
    <row r="581" spans="1:7" x14ac:dyDescent="0.25">
      <c r="A581">
        <v>580</v>
      </c>
      <c r="B581" t="s">
        <v>216</v>
      </c>
      <c r="C581" t="s">
        <v>216</v>
      </c>
      <c r="D581" t="s">
        <v>218</v>
      </c>
      <c r="E581" t="s">
        <v>221</v>
      </c>
      <c r="F581" t="s">
        <v>221</v>
      </c>
      <c r="G581" t="s">
        <v>218</v>
      </c>
    </row>
    <row r="582" spans="1:7" x14ac:dyDescent="0.25">
      <c r="A582">
        <v>581</v>
      </c>
      <c r="B582" t="s">
        <v>217</v>
      </c>
      <c r="C582" t="s">
        <v>217</v>
      </c>
      <c r="D582" t="s">
        <v>217</v>
      </c>
      <c r="E582" t="s">
        <v>221</v>
      </c>
      <c r="F582" t="s">
        <v>218</v>
      </c>
      <c r="G582" t="s">
        <v>221</v>
      </c>
    </row>
    <row r="583" spans="1:7" x14ac:dyDescent="0.25">
      <c r="A583">
        <v>582</v>
      </c>
      <c r="B583" t="s">
        <v>219</v>
      </c>
      <c r="C583" t="s">
        <v>216</v>
      </c>
      <c r="D583" t="s">
        <v>219</v>
      </c>
      <c r="E583" t="s">
        <v>220</v>
      </c>
      <c r="F583" t="s">
        <v>216</v>
      </c>
      <c r="G583" t="s">
        <v>221</v>
      </c>
    </row>
    <row r="584" spans="1:7" x14ac:dyDescent="0.25">
      <c r="A584">
        <v>583</v>
      </c>
      <c r="B584" t="s">
        <v>216</v>
      </c>
      <c r="C584" t="s">
        <v>216</v>
      </c>
      <c r="D584" t="s">
        <v>216</v>
      </c>
      <c r="E584" t="s">
        <v>221</v>
      </c>
      <c r="F584" t="s">
        <v>218</v>
      </c>
      <c r="G584" t="s">
        <v>221</v>
      </c>
    </row>
    <row r="585" spans="1:7" x14ac:dyDescent="0.25">
      <c r="A585">
        <v>584</v>
      </c>
      <c r="B585" t="s">
        <v>216</v>
      </c>
      <c r="C585" t="s">
        <v>217</v>
      </c>
      <c r="D585" t="s">
        <v>216</v>
      </c>
      <c r="E585" t="s">
        <v>221</v>
      </c>
      <c r="F585" t="s">
        <v>221</v>
      </c>
      <c r="G585" t="s">
        <v>221</v>
      </c>
    </row>
    <row r="586" spans="1:7" x14ac:dyDescent="0.25">
      <c r="A586">
        <v>585</v>
      </c>
      <c r="B586" t="s">
        <v>216</v>
      </c>
      <c r="C586" t="s">
        <v>218</v>
      </c>
      <c r="D586" t="s">
        <v>221</v>
      </c>
      <c r="E586" t="s">
        <v>216</v>
      </c>
      <c r="F586" t="s">
        <v>216</v>
      </c>
      <c r="G586" t="s">
        <v>221</v>
      </c>
    </row>
    <row r="587" spans="1:7" x14ac:dyDescent="0.25">
      <c r="A587">
        <v>586</v>
      </c>
      <c r="B587" t="s">
        <v>216</v>
      </c>
      <c r="C587" t="s">
        <v>216</v>
      </c>
      <c r="D587" t="s">
        <v>219</v>
      </c>
      <c r="E587" t="s">
        <v>217</v>
      </c>
      <c r="F587" t="s">
        <v>216</v>
      </c>
      <c r="G587" t="s">
        <v>217</v>
      </c>
    </row>
    <row r="588" spans="1:7" x14ac:dyDescent="0.25">
      <c r="A588">
        <v>587</v>
      </c>
      <c r="B588" t="s">
        <v>216</v>
      </c>
      <c r="C588" t="s">
        <v>218</v>
      </c>
      <c r="D588" t="s">
        <v>220</v>
      </c>
      <c r="E588" t="s">
        <v>217</v>
      </c>
      <c r="F588" t="s">
        <v>217</v>
      </c>
      <c r="G588" t="s">
        <v>221</v>
      </c>
    </row>
    <row r="589" spans="1:7" x14ac:dyDescent="0.25">
      <c r="A589">
        <v>588</v>
      </c>
      <c r="B589" t="s">
        <v>218</v>
      </c>
      <c r="C589" t="s">
        <v>216</v>
      </c>
      <c r="D589" t="s">
        <v>216</v>
      </c>
      <c r="E589" t="s">
        <v>217</v>
      </c>
      <c r="F589" t="s">
        <v>216</v>
      </c>
      <c r="G589" t="s">
        <v>217</v>
      </c>
    </row>
    <row r="590" spans="1:7" x14ac:dyDescent="0.25">
      <c r="A590">
        <v>589</v>
      </c>
      <c r="B590" t="s">
        <v>221</v>
      </c>
      <c r="C590" t="s">
        <v>216</v>
      </c>
      <c r="D590" t="s">
        <v>216</v>
      </c>
      <c r="E590" t="s">
        <v>219</v>
      </c>
      <c r="F590" t="s">
        <v>216</v>
      </c>
      <c r="G590" t="s">
        <v>221</v>
      </c>
    </row>
    <row r="591" spans="1:7" x14ac:dyDescent="0.25">
      <c r="A591">
        <v>590</v>
      </c>
      <c r="B591" t="s">
        <v>217</v>
      </c>
      <c r="C591" t="s">
        <v>217</v>
      </c>
      <c r="D591" t="s">
        <v>218</v>
      </c>
      <c r="E591" t="s">
        <v>218</v>
      </c>
      <c r="F591" t="s">
        <v>216</v>
      </c>
      <c r="G591" t="s">
        <v>220</v>
      </c>
    </row>
    <row r="592" spans="1:7" x14ac:dyDescent="0.25">
      <c r="A592">
        <v>591</v>
      </c>
      <c r="B592" t="s">
        <v>220</v>
      </c>
      <c r="C592" t="s">
        <v>217</v>
      </c>
      <c r="D592" t="s">
        <v>221</v>
      </c>
      <c r="E592" t="s">
        <v>221</v>
      </c>
      <c r="F592" t="s">
        <v>221</v>
      </c>
      <c r="G592" t="s">
        <v>221</v>
      </c>
    </row>
    <row r="593" spans="1:7" x14ac:dyDescent="0.25">
      <c r="A593">
        <v>592</v>
      </c>
      <c r="B593" t="s">
        <v>216</v>
      </c>
      <c r="C593" t="s">
        <v>220</v>
      </c>
      <c r="D593" t="s">
        <v>216</v>
      </c>
      <c r="E593" t="s">
        <v>218</v>
      </c>
      <c r="F593" t="s">
        <v>217</v>
      </c>
      <c r="G593" t="s">
        <v>221</v>
      </c>
    </row>
    <row r="594" spans="1:7" x14ac:dyDescent="0.25">
      <c r="A594">
        <v>593</v>
      </c>
      <c r="B594" t="s">
        <v>216</v>
      </c>
      <c r="C594" t="s">
        <v>218</v>
      </c>
      <c r="D594" t="s">
        <v>216</v>
      </c>
      <c r="E594" t="s">
        <v>221</v>
      </c>
      <c r="F594" t="s">
        <v>216</v>
      </c>
      <c r="G594" t="s">
        <v>216</v>
      </c>
    </row>
    <row r="595" spans="1:7" x14ac:dyDescent="0.25">
      <c r="A595">
        <v>594</v>
      </c>
      <c r="B595" t="s">
        <v>219</v>
      </c>
      <c r="C595" t="s">
        <v>216</v>
      </c>
      <c r="D595" t="s">
        <v>216</v>
      </c>
      <c r="E595" t="s">
        <v>221</v>
      </c>
      <c r="F595" t="s">
        <v>221</v>
      </c>
      <c r="G595" t="s">
        <v>221</v>
      </c>
    </row>
    <row r="596" spans="1:7" x14ac:dyDescent="0.25">
      <c r="A596">
        <v>595</v>
      </c>
      <c r="B596" t="s">
        <v>218</v>
      </c>
      <c r="C596" t="s">
        <v>219</v>
      </c>
      <c r="D596" t="s">
        <v>216</v>
      </c>
      <c r="E596" t="s">
        <v>216</v>
      </c>
      <c r="F596" t="s">
        <v>221</v>
      </c>
      <c r="G596" t="s">
        <v>221</v>
      </c>
    </row>
    <row r="597" spans="1:7" x14ac:dyDescent="0.25">
      <c r="A597">
        <v>596</v>
      </c>
      <c r="B597" t="s">
        <v>217</v>
      </c>
      <c r="C597" t="s">
        <v>217</v>
      </c>
      <c r="D597" t="s">
        <v>216</v>
      </c>
      <c r="E597" t="s">
        <v>217</v>
      </c>
      <c r="F597" t="s">
        <v>221</v>
      </c>
      <c r="G597" t="s">
        <v>221</v>
      </c>
    </row>
    <row r="598" spans="1:7" x14ac:dyDescent="0.25">
      <c r="A598">
        <v>597</v>
      </c>
      <c r="B598" t="s">
        <v>216</v>
      </c>
      <c r="C598" t="s">
        <v>218</v>
      </c>
      <c r="D598" t="s">
        <v>217</v>
      </c>
      <c r="E598" t="s">
        <v>218</v>
      </c>
      <c r="F598" t="s">
        <v>216</v>
      </c>
      <c r="G598" t="s">
        <v>217</v>
      </c>
    </row>
    <row r="599" spans="1:7" x14ac:dyDescent="0.25">
      <c r="A599">
        <v>598</v>
      </c>
      <c r="B599" t="s">
        <v>218</v>
      </c>
      <c r="C599" t="s">
        <v>216</v>
      </c>
      <c r="D599" t="s">
        <v>216</v>
      </c>
      <c r="E599" t="s">
        <v>220</v>
      </c>
      <c r="F599" t="s">
        <v>216</v>
      </c>
      <c r="G599" t="s">
        <v>217</v>
      </c>
    </row>
    <row r="600" spans="1:7" x14ac:dyDescent="0.25">
      <c r="A600">
        <v>599</v>
      </c>
      <c r="B600" t="s">
        <v>217</v>
      </c>
      <c r="C600" t="s">
        <v>216</v>
      </c>
      <c r="D600" t="s">
        <v>217</v>
      </c>
      <c r="E600" t="s">
        <v>217</v>
      </c>
      <c r="F600" t="s">
        <v>221</v>
      </c>
      <c r="G600" t="s">
        <v>221</v>
      </c>
    </row>
    <row r="601" spans="1:7" x14ac:dyDescent="0.25">
      <c r="A601">
        <v>600</v>
      </c>
      <c r="B601" t="s">
        <v>216</v>
      </c>
      <c r="C601" t="s">
        <v>218</v>
      </c>
      <c r="D601" t="s">
        <v>216</v>
      </c>
      <c r="E601" t="s">
        <v>217</v>
      </c>
      <c r="F601" t="s">
        <v>216</v>
      </c>
      <c r="G601" t="s">
        <v>218</v>
      </c>
    </row>
    <row r="602" spans="1:7" x14ac:dyDescent="0.25">
      <c r="A602">
        <v>601</v>
      </c>
      <c r="B602" t="s">
        <v>216</v>
      </c>
      <c r="C602" t="s">
        <v>216</v>
      </c>
      <c r="D602" t="s">
        <v>217</v>
      </c>
      <c r="E602" t="s">
        <v>221</v>
      </c>
      <c r="F602" t="s">
        <v>221</v>
      </c>
      <c r="G602" t="s">
        <v>216</v>
      </c>
    </row>
    <row r="603" spans="1:7" x14ac:dyDescent="0.25">
      <c r="A603">
        <v>602</v>
      </c>
      <c r="B603" t="s">
        <v>219</v>
      </c>
      <c r="C603" t="s">
        <v>216</v>
      </c>
      <c r="D603" t="s">
        <v>216</v>
      </c>
      <c r="E603" t="s">
        <v>221</v>
      </c>
      <c r="F603" t="s">
        <v>221</v>
      </c>
      <c r="G603" t="s">
        <v>221</v>
      </c>
    </row>
    <row r="604" spans="1:7" x14ac:dyDescent="0.25">
      <c r="A604">
        <v>603</v>
      </c>
      <c r="B604" t="s">
        <v>217</v>
      </c>
      <c r="C604" t="s">
        <v>216</v>
      </c>
      <c r="D604" t="s">
        <v>216</v>
      </c>
      <c r="E604" t="s">
        <v>221</v>
      </c>
      <c r="F604" t="s">
        <v>218</v>
      </c>
      <c r="G604" t="s">
        <v>216</v>
      </c>
    </row>
    <row r="605" spans="1:7" x14ac:dyDescent="0.25">
      <c r="A605">
        <v>604</v>
      </c>
      <c r="B605" t="s">
        <v>220</v>
      </c>
      <c r="C605" t="s">
        <v>217</v>
      </c>
      <c r="D605" t="s">
        <v>216</v>
      </c>
      <c r="E605" t="s">
        <v>221</v>
      </c>
      <c r="F605" t="s">
        <v>221</v>
      </c>
      <c r="G605" t="s">
        <v>218</v>
      </c>
    </row>
    <row r="606" spans="1:7" x14ac:dyDescent="0.25">
      <c r="A606">
        <v>605</v>
      </c>
      <c r="B606" t="s">
        <v>216</v>
      </c>
      <c r="C606" t="s">
        <v>217</v>
      </c>
      <c r="D606" t="s">
        <v>216</v>
      </c>
      <c r="E606" t="s">
        <v>221</v>
      </c>
      <c r="F606" t="s">
        <v>221</v>
      </c>
      <c r="G606" t="s">
        <v>221</v>
      </c>
    </row>
    <row r="607" spans="1:7" x14ac:dyDescent="0.25">
      <c r="A607">
        <v>606</v>
      </c>
      <c r="B607" t="s">
        <v>216</v>
      </c>
      <c r="C607" t="s">
        <v>220</v>
      </c>
      <c r="D607" t="s">
        <v>217</v>
      </c>
      <c r="E607" t="s">
        <v>218</v>
      </c>
      <c r="F607" t="s">
        <v>221</v>
      </c>
      <c r="G607" t="s">
        <v>218</v>
      </c>
    </row>
    <row r="608" spans="1:7" x14ac:dyDescent="0.25">
      <c r="A608">
        <v>607</v>
      </c>
      <c r="B608" t="s">
        <v>216</v>
      </c>
      <c r="C608" t="s">
        <v>216</v>
      </c>
      <c r="D608" t="s">
        <v>221</v>
      </c>
      <c r="E608" t="s">
        <v>221</v>
      </c>
      <c r="F608" t="s">
        <v>220</v>
      </c>
      <c r="G608" t="s">
        <v>221</v>
      </c>
    </row>
    <row r="609" spans="1:7" x14ac:dyDescent="0.25">
      <c r="A609">
        <v>608</v>
      </c>
      <c r="B609" t="s">
        <v>217</v>
      </c>
      <c r="C609" t="s">
        <v>218</v>
      </c>
      <c r="D609" t="s">
        <v>221</v>
      </c>
      <c r="E609" t="s">
        <v>216</v>
      </c>
      <c r="F609" t="s">
        <v>216</v>
      </c>
      <c r="G609" t="s">
        <v>217</v>
      </c>
    </row>
    <row r="610" spans="1:7" x14ac:dyDescent="0.25">
      <c r="A610">
        <v>609</v>
      </c>
      <c r="B610" t="s">
        <v>220</v>
      </c>
      <c r="C610" t="s">
        <v>216</v>
      </c>
      <c r="D610" t="s">
        <v>220</v>
      </c>
      <c r="E610" t="s">
        <v>218</v>
      </c>
      <c r="F610" t="s">
        <v>221</v>
      </c>
      <c r="G610" t="s">
        <v>221</v>
      </c>
    </row>
    <row r="611" spans="1:7" x14ac:dyDescent="0.25">
      <c r="A611">
        <v>610</v>
      </c>
      <c r="B611" t="s">
        <v>220</v>
      </c>
      <c r="C611" t="s">
        <v>217</v>
      </c>
      <c r="D611" t="s">
        <v>219</v>
      </c>
      <c r="E611" t="s">
        <v>216</v>
      </c>
      <c r="F611" t="s">
        <v>220</v>
      </c>
      <c r="G611" t="s">
        <v>216</v>
      </c>
    </row>
    <row r="612" spans="1:7" x14ac:dyDescent="0.25">
      <c r="A612">
        <v>611</v>
      </c>
      <c r="B612" t="s">
        <v>216</v>
      </c>
      <c r="C612" t="s">
        <v>220</v>
      </c>
      <c r="D612" t="s">
        <v>216</v>
      </c>
      <c r="E612" t="s">
        <v>217</v>
      </c>
      <c r="F612" t="s">
        <v>216</v>
      </c>
      <c r="G612" t="s">
        <v>221</v>
      </c>
    </row>
    <row r="613" spans="1:7" x14ac:dyDescent="0.25">
      <c r="A613">
        <v>612</v>
      </c>
      <c r="B613" t="s">
        <v>219</v>
      </c>
      <c r="C613" t="s">
        <v>217</v>
      </c>
      <c r="D613" t="s">
        <v>221</v>
      </c>
      <c r="E613" t="s">
        <v>217</v>
      </c>
      <c r="F613" t="s">
        <v>219</v>
      </c>
      <c r="G613" t="s">
        <v>218</v>
      </c>
    </row>
    <row r="614" spans="1:7" x14ac:dyDescent="0.25">
      <c r="A614">
        <v>613</v>
      </c>
      <c r="B614" t="s">
        <v>219</v>
      </c>
      <c r="C614" t="s">
        <v>216</v>
      </c>
      <c r="D614" t="s">
        <v>218</v>
      </c>
      <c r="E614" t="s">
        <v>219</v>
      </c>
      <c r="F614" t="s">
        <v>221</v>
      </c>
      <c r="G614" t="s">
        <v>221</v>
      </c>
    </row>
    <row r="615" spans="1:7" x14ac:dyDescent="0.25">
      <c r="A615">
        <v>614</v>
      </c>
      <c r="B615" t="s">
        <v>217</v>
      </c>
      <c r="C615" t="s">
        <v>218</v>
      </c>
      <c r="D615" t="s">
        <v>219</v>
      </c>
      <c r="E615" t="s">
        <v>221</v>
      </c>
      <c r="F615" t="s">
        <v>221</v>
      </c>
      <c r="G615" t="s">
        <v>221</v>
      </c>
    </row>
    <row r="616" spans="1:7" x14ac:dyDescent="0.25">
      <c r="A616">
        <v>615</v>
      </c>
      <c r="B616" t="s">
        <v>216</v>
      </c>
      <c r="C616" t="s">
        <v>221</v>
      </c>
      <c r="D616" t="s">
        <v>221</v>
      </c>
      <c r="E616" t="s">
        <v>221</v>
      </c>
      <c r="F616" t="s">
        <v>221</v>
      </c>
      <c r="G616" t="s">
        <v>221</v>
      </c>
    </row>
    <row r="617" spans="1:7" x14ac:dyDescent="0.25">
      <c r="A617">
        <v>616</v>
      </c>
      <c r="B617" t="s">
        <v>216</v>
      </c>
      <c r="C617" t="s">
        <v>217</v>
      </c>
      <c r="D617" t="s">
        <v>219</v>
      </c>
      <c r="E617" t="s">
        <v>217</v>
      </c>
      <c r="F617" t="s">
        <v>216</v>
      </c>
      <c r="G617" t="s">
        <v>216</v>
      </c>
    </row>
    <row r="618" spans="1:7" x14ac:dyDescent="0.25">
      <c r="A618">
        <v>617</v>
      </c>
      <c r="B618" t="s">
        <v>221</v>
      </c>
      <c r="C618" t="s">
        <v>219</v>
      </c>
      <c r="D618" t="s">
        <v>216</v>
      </c>
      <c r="E618" t="s">
        <v>217</v>
      </c>
      <c r="F618" t="s">
        <v>217</v>
      </c>
      <c r="G618" t="s">
        <v>221</v>
      </c>
    </row>
    <row r="619" spans="1:7" x14ac:dyDescent="0.25">
      <c r="A619">
        <v>618</v>
      </c>
      <c r="B619" t="s">
        <v>217</v>
      </c>
      <c r="C619" t="s">
        <v>217</v>
      </c>
      <c r="D619" t="s">
        <v>217</v>
      </c>
      <c r="E619" t="s">
        <v>221</v>
      </c>
      <c r="F619" t="s">
        <v>217</v>
      </c>
      <c r="G619" t="s">
        <v>221</v>
      </c>
    </row>
    <row r="620" spans="1:7" x14ac:dyDescent="0.25">
      <c r="A620">
        <v>619</v>
      </c>
      <c r="B620" t="s">
        <v>217</v>
      </c>
      <c r="C620" t="s">
        <v>216</v>
      </c>
      <c r="D620" t="s">
        <v>216</v>
      </c>
      <c r="E620" t="s">
        <v>216</v>
      </c>
      <c r="F620" t="s">
        <v>218</v>
      </c>
      <c r="G620" t="s">
        <v>221</v>
      </c>
    </row>
    <row r="621" spans="1:7" x14ac:dyDescent="0.25">
      <c r="A621">
        <v>620</v>
      </c>
      <c r="B621" t="s">
        <v>216</v>
      </c>
      <c r="C621" t="s">
        <v>216</v>
      </c>
      <c r="D621" t="s">
        <v>216</v>
      </c>
      <c r="E621" t="s">
        <v>221</v>
      </c>
      <c r="F621" t="s">
        <v>216</v>
      </c>
      <c r="G621" t="s">
        <v>220</v>
      </c>
    </row>
    <row r="622" spans="1:7" x14ac:dyDescent="0.25">
      <c r="A622">
        <v>621</v>
      </c>
      <c r="B622" t="s">
        <v>216</v>
      </c>
      <c r="C622" t="s">
        <v>216</v>
      </c>
      <c r="D622" t="s">
        <v>219</v>
      </c>
      <c r="E622" t="s">
        <v>219</v>
      </c>
      <c r="F622" t="s">
        <v>221</v>
      </c>
      <c r="G622" t="s">
        <v>221</v>
      </c>
    </row>
    <row r="623" spans="1:7" x14ac:dyDescent="0.25">
      <c r="A623">
        <v>622</v>
      </c>
      <c r="B623" t="s">
        <v>218</v>
      </c>
      <c r="C623" t="s">
        <v>217</v>
      </c>
      <c r="D623" t="s">
        <v>218</v>
      </c>
      <c r="E623" t="s">
        <v>219</v>
      </c>
      <c r="F623" t="s">
        <v>216</v>
      </c>
      <c r="G623" t="s">
        <v>221</v>
      </c>
    </row>
    <row r="624" spans="1:7" x14ac:dyDescent="0.25">
      <c r="A624">
        <v>623</v>
      </c>
      <c r="B624" t="s">
        <v>217</v>
      </c>
      <c r="C624" t="s">
        <v>219</v>
      </c>
      <c r="D624" t="s">
        <v>216</v>
      </c>
      <c r="E624" t="s">
        <v>221</v>
      </c>
      <c r="F624" t="s">
        <v>216</v>
      </c>
      <c r="G624" t="s">
        <v>217</v>
      </c>
    </row>
    <row r="625" spans="1:7" x14ac:dyDescent="0.25">
      <c r="A625">
        <v>624</v>
      </c>
      <c r="B625" t="s">
        <v>219</v>
      </c>
      <c r="C625" t="s">
        <v>217</v>
      </c>
      <c r="D625" t="s">
        <v>218</v>
      </c>
      <c r="E625" t="s">
        <v>216</v>
      </c>
      <c r="F625" t="s">
        <v>216</v>
      </c>
      <c r="G625" t="s">
        <v>221</v>
      </c>
    </row>
    <row r="626" spans="1:7" x14ac:dyDescent="0.25">
      <c r="A626">
        <v>625</v>
      </c>
      <c r="B626" t="s">
        <v>217</v>
      </c>
      <c r="C626" t="s">
        <v>220</v>
      </c>
      <c r="D626" t="s">
        <v>216</v>
      </c>
      <c r="E626" t="s">
        <v>218</v>
      </c>
      <c r="F626" t="s">
        <v>218</v>
      </c>
      <c r="G626" t="s">
        <v>216</v>
      </c>
    </row>
    <row r="627" spans="1:7" x14ac:dyDescent="0.25">
      <c r="A627">
        <v>626</v>
      </c>
      <c r="B627" t="s">
        <v>216</v>
      </c>
      <c r="C627" t="s">
        <v>221</v>
      </c>
      <c r="D627" t="s">
        <v>216</v>
      </c>
      <c r="E627" t="s">
        <v>221</v>
      </c>
      <c r="F627" t="s">
        <v>216</v>
      </c>
      <c r="G627" t="s">
        <v>221</v>
      </c>
    </row>
    <row r="628" spans="1:7" x14ac:dyDescent="0.25">
      <c r="A628">
        <v>627</v>
      </c>
      <c r="B628" t="s">
        <v>216</v>
      </c>
      <c r="C628" t="s">
        <v>218</v>
      </c>
      <c r="D628" t="s">
        <v>221</v>
      </c>
      <c r="E628" t="s">
        <v>217</v>
      </c>
      <c r="F628" t="s">
        <v>216</v>
      </c>
      <c r="G628" t="s">
        <v>221</v>
      </c>
    </row>
    <row r="629" spans="1:7" x14ac:dyDescent="0.25">
      <c r="A629">
        <v>628</v>
      </c>
      <c r="B629" t="s">
        <v>216</v>
      </c>
      <c r="C629" t="s">
        <v>217</v>
      </c>
      <c r="D629" t="s">
        <v>221</v>
      </c>
      <c r="E629" t="s">
        <v>216</v>
      </c>
      <c r="F629" t="s">
        <v>216</v>
      </c>
      <c r="G629" t="s">
        <v>217</v>
      </c>
    </row>
    <row r="630" spans="1:7" x14ac:dyDescent="0.25">
      <c r="A630">
        <v>629</v>
      </c>
      <c r="B630" t="s">
        <v>217</v>
      </c>
      <c r="C630" t="s">
        <v>217</v>
      </c>
      <c r="D630" t="s">
        <v>216</v>
      </c>
      <c r="E630" t="s">
        <v>218</v>
      </c>
      <c r="F630" t="s">
        <v>216</v>
      </c>
      <c r="G630" t="s">
        <v>221</v>
      </c>
    </row>
    <row r="631" spans="1:7" x14ac:dyDescent="0.25">
      <c r="A631">
        <v>630</v>
      </c>
      <c r="B631" t="s">
        <v>217</v>
      </c>
      <c r="C631" t="s">
        <v>221</v>
      </c>
      <c r="D631" t="s">
        <v>221</v>
      </c>
      <c r="E631" t="s">
        <v>221</v>
      </c>
      <c r="F631" t="s">
        <v>218</v>
      </c>
      <c r="G631" t="s">
        <v>216</v>
      </c>
    </row>
    <row r="632" spans="1:7" x14ac:dyDescent="0.25">
      <c r="A632">
        <v>631</v>
      </c>
      <c r="B632" t="s">
        <v>217</v>
      </c>
      <c r="C632" t="s">
        <v>219</v>
      </c>
      <c r="D632" t="s">
        <v>216</v>
      </c>
      <c r="E632" t="s">
        <v>220</v>
      </c>
      <c r="F632" t="s">
        <v>221</v>
      </c>
      <c r="G632" t="s">
        <v>218</v>
      </c>
    </row>
    <row r="633" spans="1:7" x14ac:dyDescent="0.25">
      <c r="A633">
        <v>632</v>
      </c>
      <c r="B633" t="s">
        <v>220</v>
      </c>
      <c r="C633" t="s">
        <v>217</v>
      </c>
      <c r="D633" t="s">
        <v>219</v>
      </c>
      <c r="E633" t="s">
        <v>221</v>
      </c>
      <c r="F633" t="s">
        <v>218</v>
      </c>
      <c r="G633" t="s">
        <v>221</v>
      </c>
    </row>
    <row r="634" spans="1:7" x14ac:dyDescent="0.25">
      <c r="A634">
        <v>633</v>
      </c>
      <c r="B634" t="s">
        <v>216</v>
      </c>
      <c r="C634" t="s">
        <v>218</v>
      </c>
      <c r="D634" t="s">
        <v>219</v>
      </c>
      <c r="E634" t="s">
        <v>220</v>
      </c>
      <c r="F634" t="s">
        <v>221</v>
      </c>
      <c r="G634" t="s">
        <v>221</v>
      </c>
    </row>
    <row r="635" spans="1:7" x14ac:dyDescent="0.25">
      <c r="A635">
        <v>634</v>
      </c>
      <c r="B635" t="s">
        <v>218</v>
      </c>
      <c r="C635" t="s">
        <v>217</v>
      </c>
      <c r="D635" t="s">
        <v>221</v>
      </c>
      <c r="E635" t="s">
        <v>216</v>
      </c>
      <c r="F635" t="s">
        <v>217</v>
      </c>
      <c r="G635" t="s">
        <v>220</v>
      </c>
    </row>
    <row r="636" spans="1:7" x14ac:dyDescent="0.25">
      <c r="A636">
        <v>635</v>
      </c>
      <c r="B636" t="s">
        <v>217</v>
      </c>
      <c r="C636" t="s">
        <v>216</v>
      </c>
      <c r="D636" t="s">
        <v>221</v>
      </c>
      <c r="E636" t="s">
        <v>221</v>
      </c>
      <c r="F636" t="s">
        <v>221</v>
      </c>
      <c r="G636" t="s">
        <v>218</v>
      </c>
    </row>
    <row r="637" spans="1:7" x14ac:dyDescent="0.25">
      <c r="A637">
        <v>636</v>
      </c>
      <c r="B637" t="s">
        <v>217</v>
      </c>
      <c r="C637" t="s">
        <v>221</v>
      </c>
      <c r="D637" t="s">
        <v>220</v>
      </c>
      <c r="E637" t="s">
        <v>221</v>
      </c>
      <c r="F637" t="s">
        <v>221</v>
      </c>
      <c r="G637" t="s">
        <v>220</v>
      </c>
    </row>
    <row r="638" spans="1:7" x14ac:dyDescent="0.25">
      <c r="A638">
        <v>637</v>
      </c>
      <c r="B638" t="s">
        <v>218</v>
      </c>
      <c r="C638" t="s">
        <v>219</v>
      </c>
      <c r="D638" t="s">
        <v>216</v>
      </c>
      <c r="E638" t="s">
        <v>216</v>
      </c>
      <c r="F638" t="s">
        <v>217</v>
      </c>
      <c r="G638" t="s">
        <v>219</v>
      </c>
    </row>
    <row r="639" spans="1:7" x14ac:dyDescent="0.25">
      <c r="A639">
        <v>638</v>
      </c>
      <c r="B639" t="s">
        <v>217</v>
      </c>
      <c r="C639" t="s">
        <v>216</v>
      </c>
      <c r="D639" t="s">
        <v>220</v>
      </c>
      <c r="E639" t="s">
        <v>217</v>
      </c>
      <c r="F639" t="s">
        <v>219</v>
      </c>
      <c r="G639" t="s">
        <v>217</v>
      </c>
    </row>
    <row r="640" spans="1:7" x14ac:dyDescent="0.25">
      <c r="A640">
        <v>639</v>
      </c>
      <c r="B640" t="s">
        <v>217</v>
      </c>
      <c r="C640" t="s">
        <v>218</v>
      </c>
      <c r="D640" t="s">
        <v>219</v>
      </c>
      <c r="E640" t="s">
        <v>221</v>
      </c>
      <c r="F640" t="s">
        <v>217</v>
      </c>
      <c r="G640" t="s">
        <v>217</v>
      </c>
    </row>
    <row r="641" spans="1:7" x14ac:dyDescent="0.25">
      <c r="A641">
        <v>640</v>
      </c>
      <c r="B641" t="s">
        <v>218</v>
      </c>
      <c r="C641" t="s">
        <v>216</v>
      </c>
      <c r="D641" t="s">
        <v>221</v>
      </c>
      <c r="E641" t="s">
        <v>221</v>
      </c>
      <c r="F641" t="s">
        <v>219</v>
      </c>
      <c r="G641" t="s">
        <v>218</v>
      </c>
    </row>
    <row r="642" spans="1:7" x14ac:dyDescent="0.25">
      <c r="A642">
        <v>641</v>
      </c>
      <c r="B642" t="s">
        <v>216</v>
      </c>
      <c r="C642" t="s">
        <v>218</v>
      </c>
      <c r="D642" t="s">
        <v>216</v>
      </c>
      <c r="E642" t="s">
        <v>218</v>
      </c>
      <c r="F642" t="s">
        <v>217</v>
      </c>
      <c r="G642" t="s">
        <v>217</v>
      </c>
    </row>
    <row r="643" spans="1:7" x14ac:dyDescent="0.25">
      <c r="A643">
        <v>642</v>
      </c>
      <c r="B643" t="s">
        <v>217</v>
      </c>
      <c r="C643" t="s">
        <v>216</v>
      </c>
      <c r="D643" t="s">
        <v>221</v>
      </c>
      <c r="E643" t="s">
        <v>216</v>
      </c>
      <c r="F643" t="s">
        <v>217</v>
      </c>
      <c r="G643" t="s">
        <v>221</v>
      </c>
    </row>
    <row r="644" spans="1:7" x14ac:dyDescent="0.25">
      <c r="A644">
        <v>643</v>
      </c>
      <c r="B644" t="s">
        <v>216</v>
      </c>
      <c r="C644" t="s">
        <v>216</v>
      </c>
      <c r="D644" t="s">
        <v>217</v>
      </c>
      <c r="E644" t="s">
        <v>216</v>
      </c>
      <c r="F644" t="s">
        <v>221</v>
      </c>
      <c r="G644" t="s">
        <v>221</v>
      </c>
    </row>
    <row r="645" spans="1:7" x14ac:dyDescent="0.25">
      <c r="A645">
        <v>644</v>
      </c>
      <c r="B645" t="s">
        <v>216</v>
      </c>
      <c r="C645" t="s">
        <v>217</v>
      </c>
      <c r="D645" t="s">
        <v>219</v>
      </c>
      <c r="E645" t="s">
        <v>221</v>
      </c>
      <c r="F645" t="s">
        <v>220</v>
      </c>
      <c r="G645" t="s">
        <v>220</v>
      </c>
    </row>
    <row r="646" spans="1:7" x14ac:dyDescent="0.25">
      <c r="A646">
        <v>645</v>
      </c>
      <c r="B646" t="s">
        <v>216</v>
      </c>
      <c r="C646" t="s">
        <v>221</v>
      </c>
      <c r="D646" t="s">
        <v>218</v>
      </c>
      <c r="E646" t="s">
        <v>216</v>
      </c>
      <c r="F646" t="s">
        <v>221</v>
      </c>
      <c r="G646" t="s">
        <v>216</v>
      </c>
    </row>
    <row r="647" spans="1:7" x14ac:dyDescent="0.25">
      <c r="A647">
        <v>646</v>
      </c>
      <c r="B647" t="s">
        <v>218</v>
      </c>
      <c r="C647" t="s">
        <v>216</v>
      </c>
      <c r="D647" t="s">
        <v>216</v>
      </c>
      <c r="E647" t="s">
        <v>217</v>
      </c>
      <c r="F647" t="s">
        <v>221</v>
      </c>
      <c r="G647" t="s">
        <v>221</v>
      </c>
    </row>
    <row r="648" spans="1:7" x14ac:dyDescent="0.25">
      <c r="A648">
        <v>647</v>
      </c>
      <c r="B648" t="s">
        <v>217</v>
      </c>
      <c r="C648" t="s">
        <v>216</v>
      </c>
      <c r="D648" t="s">
        <v>219</v>
      </c>
      <c r="E648" t="s">
        <v>221</v>
      </c>
      <c r="F648" t="s">
        <v>219</v>
      </c>
      <c r="G648" t="s">
        <v>216</v>
      </c>
    </row>
    <row r="649" spans="1:7" x14ac:dyDescent="0.25">
      <c r="A649">
        <v>648</v>
      </c>
      <c r="B649" t="s">
        <v>216</v>
      </c>
      <c r="C649" t="s">
        <v>216</v>
      </c>
      <c r="D649" t="s">
        <v>217</v>
      </c>
      <c r="E649" t="s">
        <v>216</v>
      </c>
      <c r="F649" t="s">
        <v>216</v>
      </c>
      <c r="G649" t="s">
        <v>216</v>
      </c>
    </row>
    <row r="650" spans="1:7" x14ac:dyDescent="0.25">
      <c r="A650">
        <v>649</v>
      </c>
      <c r="B650" t="s">
        <v>219</v>
      </c>
      <c r="C650" t="s">
        <v>216</v>
      </c>
      <c r="D650" t="s">
        <v>216</v>
      </c>
      <c r="E650" t="s">
        <v>221</v>
      </c>
      <c r="F650" t="s">
        <v>218</v>
      </c>
      <c r="G650" t="s">
        <v>221</v>
      </c>
    </row>
    <row r="651" spans="1:7" x14ac:dyDescent="0.25">
      <c r="A651">
        <v>650</v>
      </c>
      <c r="B651" t="s">
        <v>219</v>
      </c>
      <c r="C651" t="s">
        <v>216</v>
      </c>
      <c r="D651" t="s">
        <v>216</v>
      </c>
      <c r="E651" t="s">
        <v>216</v>
      </c>
      <c r="F651" t="s">
        <v>217</v>
      </c>
      <c r="G651" t="s">
        <v>221</v>
      </c>
    </row>
    <row r="652" spans="1:7" x14ac:dyDescent="0.25">
      <c r="A652">
        <v>651</v>
      </c>
      <c r="B652" t="s">
        <v>216</v>
      </c>
      <c r="C652" t="s">
        <v>216</v>
      </c>
      <c r="D652" t="s">
        <v>219</v>
      </c>
      <c r="E652" t="s">
        <v>221</v>
      </c>
      <c r="F652" t="s">
        <v>220</v>
      </c>
      <c r="G652" t="s">
        <v>216</v>
      </c>
    </row>
    <row r="653" spans="1:7" x14ac:dyDescent="0.25">
      <c r="A653">
        <v>652</v>
      </c>
      <c r="B653" t="s">
        <v>216</v>
      </c>
      <c r="C653" t="s">
        <v>217</v>
      </c>
      <c r="D653" t="s">
        <v>221</v>
      </c>
      <c r="E653" t="s">
        <v>218</v>
      </c>
      <c r="F653" t="s">
        <v>221</v>
      </c>
      <c r="G653" t="s">
        <v>216</v>
      </c>
    </row>
    <row r="654" spans="1:7" x14ac:dyDescent="0.25">
      <c r="A654">
        <v>653</v>
      </c>
      <c r="B654" t="s">
        <v>219</v>
      </c>
      <c r="C654" t="s">
        <v>218</v>
      </c>
      <c r="D654" t="s">
        <v>218</v>
      </c>
      <c r="E654" t="s">
        <v>221</v>
      </c>
      <c r="F654" t="s">
        <v>219</v>
      </c>
      <c r="G654" t="s">
        <v>221</v>
      </c>
    </row>
    <row r="655" spans="1:7" x14ac:dyDescent="0.25">
      <c r="A655">
        <v>654</v>
      </c>
      <c r="B655" t="s">
        <v>219</v>
      </c>
      <c r="C655" t="s">
        <v>216</v>
      </c>
      <c r="D655" t="s">
        <v>217</v>
      </c>
      <c r="E655" t="s">
        <v>218</v>
      </c>
      <c r="F655" t="s">
        <v>221</v>
      </c>
      <c r="G655" t="s">
        <v>217</v>
      </c>
    </row>
    <row r="656" spans="1:7" x14ac:dyDescent="0.25">
      <c r="A656">
        <v>655</v>
      </c>
      <c r="B656" t="s">
        <v>218</v>
      </c>
      <c r="C656" t="s">
        <v>216</v>
      </c>
      <c r="D656" t="s">
        <v>218</v>
      </c>
      <c r="E656" t="s">
        <v>221</v>
      </c>
      <c r="F656" t="s">
        <v>221</v>
      </c>
      <c r="G656" t="s">
        <v>221</v>
      </c>
    </row>
    <row r="657" spans="1:7" x14ac:dyDescent="0.25">
      <c r="A657">
        <v>656</v>
      </c>
      <c r="B657" t="s">
        <v>216</v>
      </c>
      <c r="C657" t="s">
        <v>219</v>
      </c>
      <c r="D657" t="s">
        <v>221</v>
      </c>
      <c r="E657" t="s">
        <v>221</v>
      </c>
      <c r="F657" t="s">
        <v>221</v>
      </c>
      <c r="G657" t="s">
        <v>221</v>
      </c>
    </row>
    <row r="658" spans="1:7" x14ac:dyDescent="0.25">
      <c r="A658">
        <v>657</v>
      </c>
      <c r="B658" t="s">
        <v>216</v>
      </c>
      <c r="C658" t="s">
        <v>216</v>
      </c>
      <c r="D658" t="s">
        <v>217</v>
      </c>
      <c r="E658" t="s">
        <v>221</v>
      </c>
      <c r="F658" t="s">
        <v>221</v>
      </c>
      <c r="G658" t="s">
        <v>218</v>
      </c>
    </row>
    <row r="659" spans="1:7" x14ac:dyDescent="0.25">
      <c r="A659">
        <v>658</v>
      </c>
      <c r="B659" t="s">
        <v>218</v>
      </c>
      <c r="C659" t="s">
        <v>216</v>
      </c>
      <c r="D659" t="s">
        <v>216</v>
      </c>
      <c r="E659" t="s">
        <v>217</v>
      </c>
      <c r="F659" t="s">
        <v>216</v>
      </c>
      <c r="G659" t="s">
        <v>221</v>
      </c>
    </row>
    <row r="660" spans="1:7" x14ac:dyDescent="0.25">
      <c r="A660">
        <v>659</v>
      </c>
      <c r="B660" t="s">
        <v>217</v>
      </c>
      <c r="C660" t="s">
        <v>221</v>
      </c>
      <c r="D660" t="s">
        <v>221</v>
      </c>
      <c r="E660" t="s">
        <v>216</v>
      </c>
      <c r="F660" t="s">
        <v>218</v>
      </c>
      <c r="G660" t="s">
        <v>221</v>
      </c>
    </row>
    <row r="661" spans="1:7" x14ac:dyDescent="0.25">
      <c r="A661">
        <v>660</v>
      </c>
      <c r="B661" t="s">
        <v>216</v>
      </c>
      <c r="C661" t="s">
        <v>220</v>
      </c>
      <c r="D661" t="s">
        <v>217</v>
      </c>
      <c r="E661" t="s">
        <v>217</v>
      </c>
      <c r="F661" t="s">
        <v>221</v>
      </c>
      <c r="G661" t="s">
        <v>219</v>
      </c>
    </row>
    <row r="662" spans="1:7" x14ac:dyDescent="0.25">
      <c r="A662">
        <v>661</v>
      </c>
      <c r="B662" t="s">
        <v>216</v>
      </c>
      <c r="C662" t="s">
        <v>216</v>
      </c>
      <c r="D662" t="s">
        <v>217</v>
      </c>
      <c r="E662" t="s">
        <v>221</v>
      </c>
      <c r="F662" t="s">
        <v>221</v>
      </c>
      <c r="G662" t="s">
        <v>216</v>
      </c>
    </row>
    <row r="663" spans="1:7" x14ac:dyDescent="0.25">
      <c r="A663">
        <v>662</v>
      </c>
      <c r="B663" t="s">
        <v>216</v>
      </c>
      <c r="C663" t="s">
        <v>221</v>
      </c>
      <c r="D663" t="s">
        <v>218</v>
      </c>
      <c r="E663" t="s">
        <v>217</v>
      </c>
      <c r="F663" t="s">
        <v>216</v>
      </c>
      <c r="G663" t="s">
        <v>221</v>
      </c>
    </row>
    <row r="664" spans="1:7" x14ac:dyDescent="0.25">
      <c r="A664">
        <v>663</v>
      </c>
      <c r="B664" t="s">
        <v>221</v>
      </c>
      <c r="C664" t="s">
        <v>217</v>
      </c>
      <c r="D664" t="s">
        <v>217</v>
      </c>
      <c r="E664" t="s">
        <v>221</v>
      </c>
      <c r="F664" t="s">
        <v>221</v>
      </c>
      <c r="G664" t="s">
        <v>221</v>
      </c>
    </row>
    <row r="665" spans="1:7" x14ac:dyDescent="0.25">
      <c r="A665">
        <v>664</v>
      </c>
      <c r="B665" t="s">
        <v>219</v>
      </c>
      <c r="C665" t="s">
        <v>219</v>
      </c>
      <c r="D665" t="s">
        <v>218</v>
      </c>
      <c r="E665" t="s">
        <v>221</v>
      </c>
      <c r="F665" t="s">
        <v>216</v>
      </c>
      <c r="G665" t="s">
        <v>221</v>
      </c>
    </row>
    <row r="666" spans="1:7" x14ac:dyDescent="0.25">
      <c r="A666">
        <v>665</v>
      </c>
      <c r="B666" t="s">
        <v>216</v>
      </c>
      <c r="C666" t="s">
        <v>221</v>
      </c>
      <c r="D666" t="s">
        <v>218</v>
      </c>
      <c r="E666" t="s">
        <v>216</v>
      </c>
      <c r="F666" t="s">
        <v>216</v>
      </c>
      <c r="G666" t="s">
        <v>218</v>
      </c>
    </row>
    <row r="667" spans="1:7" x14ac:dyDescent="0.25">
      <c r="A667">
        <v>666</v>
      </c>
      <c r="B667" t="s">
        <v>218</v>
      </c>
      <c r="C667" t="s">
        <v>217</v>
      </c>
      <c r="D667" t="s">
        <v>216</v>
      </c>
      <c r="E667" t="s">
        <v>216</v>
      </c>
      <c r="F667" t="s">
        <v>220</v>
      </c>
      <c r="G667" t="s">
        <v>221</v>
      </c>
    </row>
    <row r="668" spans="1:7" x14ac:dyDescent="0.25">
      <c r="A668">
        <v>667</v>
      </c>
      <c r="B668" t="s">
        <v>216</v>
      </c>
      <c r="C668" t="s">
        <v>217</v>
      </c>
      <c r="D668" t="s">
        <v>218</v>
      </c>
      <c r="E668" t="s">
        <v>219</v>
      </c>
      <c r="F668" t="s">
        <v>220</v>
      </c>
      <c r="G668" t="s">
        <v>217</v>
      </c>
    </row>
    <row r="669" spans="1:7" x14ac:dyDescent="0.25">
      <c r="A669">
        <v>668</v>
      </c>
      <c r="B669" t="s">
        <v>217</v>
      </c>
      <c r="C669" t="s">
        <v>216</v>
      </c>
      <c r="D669" t="s">
        <v>217</v>
      </c>
      <c r="E669" t="s">
        <v>217</v>
      </c>
      <c r="F669" t="s">
        <v>221</v>
      </c>
      <c r="G669" t="s">
        <v>221</v>
      </c>
    </row>
    <row r="670" spans="1:7" x14ac:dyDescent="0.25">
      <c r="A670">
        <v>669</v>
      </c>
      <c r="B670" t="s">
        <v>219</v>
      </c>
      <c r="C670" t="s">
        <v>217</v>
      </c>
      <c r="D670" t="s">
        <v>221</v>
      </c>
      <c r="E670" t="s">
        <v>217</v>
      </c>
      <c r="F670" t="s">
        <v>218</v>
      </c>
      <c r="G670" t="s">
        <v>216</v>
      </c>
    </row>
    <row r="671" spans="1:7" x14ac:dyDescent="0.25">
      <c r="A671">
        <v>670</v>
      </c>
      <c r="B671" t="s">
        <v>217</v>
      </c>
      <c r="C671" t="s">
        <v>217</v>
      </c>
      <c r="D671" t="s">
        <v>219</v>
      </c>
      <c r="E671" t="s">
        <v>216</v>
      </c>
      <c r="F671" t="s">
        <v>216</v>
      </c>
      <c r="G671" t="s">
        <v>216</v>
      </c>
    </row>
    <row r="672" spans="1:7" x14ac:dyDescent="0.25">
      <c r="A672">
        <v>671</v>
      </c>
      <c r="B672" t="s">
        <v>216</v>
      </c>
      <c r="C672" t="s">
        <v>216</v>
      </c>
      <c r="D672" t="s">
        <v>221</v>
      </c>
      <c r="E672" t="s">
        <v>216</v>
      </c>
      <c r="F672" t="s">
        <v>221</v>
      </c>
      <c r="G672" t="s">
        <v>216</v>
      </c>
    </row>
    <row r="673" spans="1:7" x14ac:dyDescent="0.25">
      <c r="A673">
        <v>672</v>
      </c>
      <c r="B673" t="s">
        <v>217</v>
      </c>
      <c r="C673" t="s">
        <v>216</v>
      </c>
      <c r="D673" t="s">
        <v>220</v>
      </c>
      <c r="E673" t="s">
        <v>219</v>
      </c>
      <c r="F673" t="s">
        <v>221</v>
      </c>
      <c r="G673" t="s">
        <v>221</v>
      </c>
    </row>
    <row r="674" spans="1:7" x14ac:dyDescent="0.25">
      <c r="A674">
        <v>673</v>
      </c>
      <c r="B674" t="s">
        <v>217</v>
      </c>
      <c r="C674" t="s">
        <v>216</v>
      </c>
      <c r="D674" t="s">
        <v>221</v>
      </c>
      <c r="E674" t="s">
        <v>217</v>
      </c>
      <c r="F674" t="s">
        <v>221</v>
      </c>
      <c r="G674" t="s">
        <v>216</v>
      </c>
    </row>
    <row r="675" spans="1:7" x14ac:dyDescent="0.25">
      <c r="A675">
        <v>674</v>
      </c>
      <c r="B675" t="s">
        <v>216</v>
      </c>
      <c r="C675" t="s">
        <v>216</v>
      </c>
      <c r="D675" t="s">
        <v>217</v>
      </c>
      <c r="E675" t="s">
        <v>219</v>
      </c>
      <c r="F675" t="s">
        <v>216</v>
      </c>
      <c r="G675" t="s">
        <v>221</v>
      </c>
    </row>
    <row r="676" spans="1:7" x14ac:dyDescent="0.25">
      <c r="A676">
        <v>675</v>
      </c>
      <c r="B676" t="s">
        <v>216</v>
      </c>
      <c r="C676" t="s">
        <v>220</v>
      </c>
      <c r="D676" t="s">
        <v>218</v>
      </c>
      <c r="E676" t="s">
        <v>217</v>
      </c>
      <c r="F676" t="s">
        <v>217</v>
      </c>
      <c r="G676" t="s">
        <v>221</v>
      </c>
    </row>
    <row r="677" spans="1:7" x14ac:dyDescent="0.25">
      <c r="A677">
        <v>676</v>
      </c>
      <c r="B677" t="s">
        <v>218</v>
      </c>
      <c r="C677" t="s">
        <v>221</v>
      </c>
      <c r="D677" t="s">
        <v>220</v>
      </c>
      <c r="E677" t="s">
        <v>216</v>
      </c>
      <c r="F677" t="s">
        <v>221</v>
      </c>
      <c r="G677" t="s">
        <v>221</v>
      </c>
    </row>
    <row r="678" spans="1:7" x14ac:dyDescent="0.25">
      <c r="A678">
        <v>677</v>
      </c>
      <c r="B678" t="s">
        <v>217</v>
      </c>
      <c r="C678" t="s">
        <v>218</v>
      </c>
      <c r="D678" t="s">
        <v>217</v>
      </c>
      <c r="E678" t="s">
        <v>221</v>
      </c>
      <c r="F678" t="s">
        <v>221</v>
      </c>
      <c r="G678" t="s">
        <v>221</v>
      </c>
    </row>
    <row r="679" spans="1:7" x14ac:dyDescent="0.25">
      <c r="A679">
        <v>678</v>
      </c>
      <c r="B679" t="s">
        <v>220</v>
      </c>
      <c r="C679" t="s">
        <v>219</v>
      </c>
      <c r="D679" t="s">
        <v>219</v>
      </c>
      <c r="E679" t="s">
        <v>217</v>
      </c>
      <c r="F679" t="s">
        <v>217</v>
      </c>
      <c r="G679" t="s">
        <v>221</v>
      </c>
    </row>
    <row r="680" spans="1:7" x14ac:dyDescent="0.25">
      <c r="A680">
        <v>679</v>
      </c>
      <c r="B680" t="s">
        <v>219</v>
      </c>
      <c r="C680" t="s">
        <v>216</v>
      </c>
      <c r="D680" t="s">
        <v>217</v>
      </c>
      <c r="E680" t="s">
        <v>216</v>
      </c>
      <c r="F680" t="s">
        <v>218</v>
      </c>
      <c r="G680" t="s">
        <v>219</v>
      </c>
    </row>
    <row r="681" spans="1:7" x14ac:dyDescent="0.25">
      <c r="A681">
        <v>680</v>
      </c>
      <c r="B681" t="s">
        <v>219</v>
      </c>
      <c r="C681" t="s">
        <v>217</v>
      </c>
      <c r="D681" t="s">
        <v>216</v>
      </c>
      <c r="E681" t="s">
        <v>221</v>
      </c>
      <c r="F681" t="s">
        <v>216</v>
      </c>
      <c r="G681" t="s">
        <v>221</v>
      </c>
    </row>
    <row r="682" spans="1:7" x14ac:dyDescent="0.25">
      <c r="A682">
        <v>681</v>
      </c>
      <c r="B682" t="s">
        <v>218</v>
      </c>
      <c r="C682" t="s">
        <v>216</v>
      </c>
      <c r="D682" t="s">
        <v>221</v>
      </c>
      <c r="E682" t="s">
        <v>219</v>
      </c>
      <c r="F682" t="s">
        <v>220</v>
      </c>
      <c r="G682" t="s">
        <v>217</v>
      </c>
    </row>
    <row r="683" spans="1:7" x14ac:dyDescent="0.25">
      <c r="A683">
        <v>682</v>
      </c>
      <c r="B683" t="s">
        <v>216</v>
      </c>
      <c r="C683" t="s">
        <v>220</v>
      </c>
      <c r="D683" t="s">
        <v>216</v>
      </c>
      <c r="E683" t="s">
        <v>216</v>
      </c>
      <c r="F683" t="s">
        <v>221</v>
      </c>
      <c r="G683" t="s">
        <v>218</v>
      </c>
    </row>
    <row r="684" spans="1:7" x14ac:dyDescent="0.25">
      <c r="A684">
        <v>683</v>
      </c>
      <c r="B684" t="s">
        <v>217</v>
      </c>
      <c r="C684" t="s">
        <v>216</v>
      </c>
      <c r="D684" t="s">
        <v>217</v>
      </c>
      <c r="E684" t="s">
        <v>217</v>
      </c>
      <c r="F684" t="s">
        <v>216</v>
      </c>
      <c r="G684" t="s">
        <v>221</v>
      </c>
    </row>
    <row r="685" spans="1:7" x14ac:dyDescent="0.25">
      <c r="A685">
        <v>684</v>
      </c>
      <c r="B685" t="s">
        <v>216</v>
      </c>
      <c r="C685" t="s">
        <v>216</v>
      </c>
      <c r="D685" t="s">
        <v>216</v>
      </c>
      <c r="E685" t="s">
        <v>216</v>
      </c>
      <c r="F685" t="s">
        <v>220</v>
      </c>
      <c r="G685" t="s">
        <v>221</v>
      </c>
    </row>
    <row r="686" spans="1:7" x14ac:dyDescent="0.25">
      <c r="A686">
        <v>685</v>
      </c>
      <c r="B686" t="s">
        <v>217</v>
      </c>
      <c r="C686" t="s">
        <v>217</v>
      </c>
      <c r="D686" t="s">
        <v>220</v>
      </c>
      <c r="E686" t="s">
        <v>221</v>
      </c>
      <c r="F686" t="s">
        <v>221</v>
      </c>
      <c r="G686" t="s">
        <v>221</v>
      </c>
    </row>
    <row r="687" spans="1:7" x14ac:dyDescent="0.25">
      <c r="A687">
        <v>686</v>
      </c>
      <c r="B687" t="s">
        <v>218</v>
      </c>
      <c r="C687" t="s">
        <v>219</v>
      </c>
      <c r="D687" t="s">
        <v>218</v>
      </c>
      <c r="E687" t="s">
        <v>221</v>
      </c>
      <c r="F687" t="s">
        <v>221</v>
      </c>
      <c r="G687" t="s">
        <v>221</v>
      </c>
    </row>
    <row r="688" spans="1:7" x14ac:dyDescent="0.25">
      <c r="A688">
        <v>687</v>
      </c>
      <c r="B688" t="s">
        <v>216</v>
      </c>
      <c r="C688" t="s">
        <v>217</v>
      </c>
      <c r="D688" t="s">
        <v>217</v>
      </c>
      <c r="E688" t="s">
        <v>221</v>
      </c>
      <c r="F688" t="s">
        <v>219</v>
      </c>
      <c r="G688" t="s">
        <v>221</v>
      </c>
    </row>
    <row r="689" spans="1:7" x14ac:dyDescent="0.25">
      <c r="A689">
        <v>688</v>
      </c>
      <c r="B689" t="s">
        <v>217</v>
      </c>
      <c r="C689" t="s">
        <v>216</v>
      </c>
      <c r="D689" t="s">
        <v>216</v>
      </c>
      <c r="E689" t="s">
        <v>216</v>
      </c>
      <c r="F689" t="s">
        <v>219</v>
      </c>
      <c r="G689" t="s">
        <v>216</v>
      </c>
    </row>
    <row r="690" spans="1:7" x14ac:dyDescent="0.25">
      <c r="A690">
        <v>689</v>
      </c>
      <c r="B690" t="s">
        <v>217</v>
      </c>
      <c r="C690" t="s">
        <v>216</v>
      </c>
      <c r="D690" t="s">
        <v>216</v>
      </c>
      <c r="E690" t="s">
        <v>221</v>
      </c>
      <c r="F690" t="s">
        <v>217</v>
      </c>
      <c r="G690" t="s">
        <v>220</v>
      </c>
    </row>
    <row r="691" spans="1:7" x14ac:dyDescent="0.25">
      <c r="A691">
        <v>690</v>
      </c>
      <c r="B691" t="s">
        <v>218</v>
      </c>
      <c r="C691" t="s">
        <v>216</v>
      </c>
      <c r="D691" t="s">
        <v>221</v>
      </c>
      <c r="E691" t="s">
        <v>219</v>
      </c>
      <c r="F691" t="s">
        <v>216</v>
      </c>
      <c r="G691" t="s">
        <v>221</v>
      </c>
    </row>
    <row r="692" spans="1:7" x14ac:dyDescent="0.25">
      <c r="A692">
        <v>691</v>
      </c>
      <c r="B692" t="s">
        <v>217</v>
      </c>
      <c r="C692" t="s">
        <v>216</v>
      </c>
      <c r="D692" t="s">
        <v>216</v>
      </c>
      <c r="E692" t="s">
        <v>221</v>
      </c>
      <c r="F692" t="s">
        <v>217</v>
      </c>
      <c r="G692" t="s">
        <v>221</v>
      </c>
    </row>
    <row r="693" spans="1:7" x14ac:dyDescent="0.25">
      <c r="A693">
        <v>692</v>
      </c>
      <c r="B693" t="s">
        <v>217</v>
      </c>
      <c r="C693" t="s">
        <v>216</v>
      </c>
      <c r="D693" t="s">
        <v>219</v>
      </c>
      <c r="E693" t="s">
        <v>219</v>
      </c>
      <c r="F693" t="s">
        <v>218</v>
      </c>
      <c r="G693" t="s">
        <v>217</v>
      </c>
    </row>
    <row r="694" spans="1:7" x14ac:dyDescent="0.25">
      <c r="A694">
        <v>693</v>
      </c>
      <c r="B694" t="s">
        <v>216</v>
      </c>
      <c r="C694" t="s">
        <v>217</v>
      </c>
      <c r="D694" t="s">
        <v>216</v>
      </c>
      <c r="E694" t="s">
        <v>216</v>
      </c>
      <c r="F694" t="s">
        <v>217</v>
      </c>
      <c r="G694" t="s">
        <v>217</v>
      </c>
    </row>
    <row r="695" spans="1:7" x14ac:dyDescent="0.25">
      <c r="A695">
        <v>694</v>
      </c>
      <c r="B695" t="s">
        <v>219</v>
      </c>
      <c r="C695" t="s">
        <v>217</v>
      </c>
      <c r="D695" t="s">
        <v>220</v>
      </c>
      <c r="E695" t="s">
        <v>218</v>
      </c>
      <c r="F695" t="s">
        <v>221</v>
      </c>
      <c r="G695" t="s">
        <v>221</v>
      </c>
    </row>
    <row r="696" spans="1:7" x14ac:dyDescent="0.25">
      <c r="A696">
        <v>695</v>
      </c>
      <c r="B696" t="s">
        <v>216</v>
      </c>
      <c r="C696" t="s">
        <v>217</v>
      </c>
      <c r="D696" t="s">
        <v>216</v>
      </c>
      <c r="E696" t="s">
        <v>221</v>
      </c>
      <c r="F696" t="s">
        <v>221</v>
      </c>
      <c r="G696" t="s">
        <v>221</v>
      </c>
    </row>
    <row r="697" spans="1:7" x14ac:dyDescent="0.25">
      <c r="A697">
        <v>696</v>
      </c>
      <c r="B697" t="s">
        <v>219</v>
      </c>
      <c r="C697" t="s">
        <v>218</v>
      </c>
      <c r="D697" t="s">
        <v>221</v>
      </c>
      <c r="E697" t="s">
        <v>221</v>
      </c>
      <c r="F697" t="s">
        <v>221</v>
      </c>
      <c r="G697" t="s">
        <v>221</v>
      </c>
    </row>
    <row r="698" spans="1:7" x14ac:dyDescent="0.25">
      <c r="A698">
        <v>697</v>
      </c>
      <c r="B698" t="s">
        <v>219</v>
      </c>
      <c r="C698" t="s">
        <v>219</v>
      </c>
      <c r="D698" t="s">
        <v>221</v>
      </c>
      <c r="E698" t="s">
        <v>216</v>
      </c>
      <c r="F698" t="s">
        <v>216</v>
      </c>
      <c r="G698" t="s">
        <v>218</v>
      </c>
    </row>
    <row r="699" spans="1:7" x14ac:dyDescent="0.25">
      <c r="A699">
        <v>698</v>
      </c>
      <c r="B699" t="s">
        <v>219</v>
      </c>
      <c r="C699" t="s">
        <v>219</v>
      </c>
      <c r="D699" t="s">
        <v>221</v>
      </c>
      <c r="E699" t="s">
        <v>221</v>
      </c>
      <c r="F699" t="s">
        <v>220</v>
      </c>
      <c r="G699" t="s">
        <v>221</v>
      </c>
    </row>
    <row r="700" spans="1:7" x14ac:dyDescent="0.25">
      <c r="A700">
        <v>699</v>
      </c>
      <c r="B700" t="s">
        <v>216</v>
      </c>
      <c r="C700" t="s">
        <v>221</v>
      </c>
      <c r="D700" t="s">
        <v>216</v>
      </c>
      <c r="E700" t="s">
        <v>217</v>
      </c>
      <c r="F700" t="s">
        <v>221</v>
      </c>
      <c r="G700" t="s">
        <v>221</v>
      </c>
    </row>
    <row r="701" spans="1:7" x14ac:dyDescent="0.25">
      <c r="A701">
        <v>700</v>
      </c>
      <c r="B701" t="s">
        <v>216</v>
      </c>
      <c r="C701" t="s">
        <v>221</v>
      </c>
      <c r="D701" t="s">
        <v>216</v>
      </c>
      <c r="E701" t="s">
        <v>221</v>
      </c>
      <c r="F701" t="s">
        <v>220</v>
      </c>
      <c r="G701" t="s">
        <v>221</v>
      </c>
    </row>
    <row r="702" spans="1:7" x14ac:dyDescent="0.25">
      <c r="A702">
        <v>701</v>
      </c>
      <c r="B702" t="s">
        <v>217</v>
      </c>
      <c r="C702" t="s">
        <v>221</v>
      </c>
      <c r="D702" t="s">
        <v>220</v>
      </c>
      <c r="E702" t="s">
        <v>219</v>
      </c>
      <c r="F702" t="s">
        <v>221</v>
      </c>
      <c r="G702" t="s">
        <v>220</v>
      </c>
    </row>
    <row r="703" spans="1:7" x14ac:dyDescent="0.25">
      <c r="A703">
        <v>702</v>
      </c>
      <c r="B703" t="s">
        <v>216</v>
      </c>
      <c r="C703" t="s">
        <v>216</v>
      </c>
      <c r="D703" t="s">
        <v>216</v>
      </c>
      <c r="E703" t="s">
        <v>216</v>
      </c>
      <c r="F703" t="s">
        <v>221</v>
      </c>
      <c r="G703" t="s">
        <v>216</v>
      </c>
    </row>
    <row r="704" spans="1:7" x14ac:dyDescent="0.25">
      <c r="A704">
        <v>703</v>
      </c>
      <c r="B704" t="s">
        <v>220</v>
      </c>
      <c r="C704" t="s">
        <v>216</v>
      </c>
      <c r="D704" t="s">
        <v>221</v>
      </c>
      <c r="E704" t="s">
        <v>220</v>
      </c>
      <c r="F704" t="s">
        <v>219</v>
      </c>
      <c r="G704" t="s">
        <v>221</v>
      </c>
    </row>
    <row r="705" spans="1:7" x14ac:dyDescent="0.25">
      <c r="A705">
        <v>704</v>
      </c>
      <c r="B705" t="s">
        <v>220</v>
      </c>
      <c r="C705" t="s">
        <v>221</v>
      </c>
      <c r="D705" t="s">
        <v>219</v>
      </c>
      <c r="E705" t="s">
        <v>218</v>
      </c>
      <c r="F705" t="s">
        <v>218</v>
      </c>
      <c r="G705" t="s">
        <v>221</v>
      </c>
    </row>
    <row r="706" spans="1:7" x14ac:dyDescent="0.25">
      <c r="A706">
        <v>705</v>
      </c>
      <c r="B706" t="s">
        <v>216</v>
      </c>
      <c r="C706" t="s">
        <v>220</v>
      </c>
      <c r="D706" t="s">
        <v>216</v>
      </c>
      <c r="E706" t="s">
        <v>218</v>
      </c>
      <c r="F706" t="s">
        <v>219</v>
      </c>
      <c r="G706" t="s">
        <v>221</v>
      </c>
    </row>
    <row r="707" spans="1:7" x14ac:dyDescent="0.25">
      <c r="A707">
        <v>706</v>
      </c>
      <c r="B707" t="s">
        <v>216</v>
      </c>
      <c r="C707" t="s">
        <v>218</v>
      </c>
      <c r="D707" t="s">
        <v>218</v>
      </c>
      <c r="E707" t="s">
        <v>216</v>
      </c>
      <c r="F707" t="s">
        <v>217</v>
      </c>
      <c r="G707" t="s">
        <v>221</v>
      </c>
    </row>
    <row r="708" spans="1:7" x14ac:dyDescent="0.25">
      <c r="A708">
        <v>707</v>
      </c>
      <c r="B708" t="s">
        <v>218</v>
      </c>
      <c r="C708" t="s">
        <v>219</v>
      </c>
      <c r="D708" t="s">
        <v>216</v>
      </c>
      <c r="E708" t="s">
        <v>217</v>
      </c>
      <c r="F708" t="s">
        <v>220</v>
      </c>
      <c r="G708" t="s">
        <v>221</v>
      </c>
    </row>
    <row r="709" spans="1:7" x14ac:dyDescent="0.25">
      <c r="A709">
        <v>708</v>
      </c>
      <c r="B709" t="s">
        <v>216</v>
      </c>
      <c r="C709" t="s">
        <v>220</v>
      </c>
      <c r="D709" t="s">
        <v>220</v>
      </c>
      <c r="E709" t="s">
        <v>221</v>
      </c>
      <c r="F709" t="s">
        <v>216</v>
      </c>
      <c r="G709" t="s">
        <v>217</v>
      </c>
    </row>
    <row r="710" spans="1:7" x14ac:dyDescent="0.25">
      <c r="A710">
        <v>709</v>
      </c>
      <c r="B710" t="s">
        <v>220</v>
      </c>
      <c r="C710" t="s">
        <v>217</v>
      </c>
      <c r="D710" t="s">
        <v>219</v>
      </c>
      <c r="E710" t="s">
        <v>219</v>
      </c>
      <c r="F710" t="s">
        <v>216</v>
      </c>
      <c r="G710" t="s">
        <v>221</v>
      </c>
    </row>
    <row r="711" spans="1:7" x14ac:dyDescent="0.25">
      <c r="A711">
        <v>710</v>
      </c>
      <c r="B711" t="s">
        <v>217</v>
      </c>
      <c r="C711" t="s">
        <v>217</v>
      </c>
      <c r="D711" t="s">
        <v>218</v>
      </c>
      <c r="E711" t="s">
        <v>216</v>
      </c>
      <c r="F711" t="s">
        <v>217</v>
      </c>
      <c r="G711" t="s">
        <v>217</v>
      </c>
    </row>
    <row r="712" spans="1:7" x14ac:dyDescent="0.25">
      <c r="A712">
        <v>711</v>
      </c>
      <c r="B712" t="s">
        <v>216</v>
      </c>
      <c r="C712" t="s">
        <v>216</v>
      </c>
      <c r="D712" t="s">
        <v>221</v>
      </c>
      <c r="E712" t="s">
        <v>221</v>
      </c>
      <c r="F712" t="s">
        <v>218</v>
      </c>
      <c r="G712" t="s">
        <v>219</v>
      </c>
    </row>
    <row r="713" spans="1:7" x14ac:dyDescent="0.25">
      <c r="A713">
        <v>712</v>
      </c>
      <c r="B713" t="s">
        <v>216</v>
      </c>
      <c r="C713" t="s">
        <v>218</v>
      </c>
      <c r="D713" t="s">
        <v>221</v>
      </c>
      <c r="E713" t="s">
        <v>221</v>
      </c>
      <c r="F713" t="s">
        <v>221</v>
      </c>
      <c r="G713" t="s">
        <v>221</v>
      </c>
    </row>
    <row r="714" spans="1:7" x14ac:dyDescent="0.25">
      <c r="A714">
        <v>713</v>
      </c>
      <c r="B714" t="s">
        <v>218</v>
      </c>
      <c r="C714" t="s">
        <v>216</v>
      </c>
      <c r="D714" t="s">
        <v>217</v>
      </c>
      <c r="E714" t="s">
        <v>216</v>
      </c>
      <c r="F714" t="s">
        <v>218</v>
      </c>
      <c r="G714" t="s">
        <v>221</v>
      </c>
    </row>
    <row r="715" spans="1:7" x14ac:dyDescent="0.25">
      <c r="A715">
        <v>714</v>
      </c>
      <c r="B715" t="s">
        <v>219</v>
      </c>
      <c r="C715" t="s">
        <v>221</v>
      </c>
      <c r="D715" t="s">
        <v>216</v>
      </c>
      <c r="E715" t="s">
        <v>219</v>
      </c>
      <c r="F715" t="s">
        <v>216</v>
      </c>
      <c r="G715" t="s">
        <v>218</v>
      </c>
    </row>
    <row r="716" spans="1:7" x14ac:dyDescent="0.25">
      <c r="A716">
        <v>715</v>
      </c>
      <c r="B716" t="s">
        <v>216</v>
      </c>
      <c r="C716" t="s">
        <v>217</v>
      </c>
      <c r="D716" t="s">
        <v>220</v>
      </c>
      <c r="E716" t="s">
        <v>221</v>
      </c>
      <c r="F716" t="s">
        <v>221</v>
      </c>
      <c r="G716" t="s">
        <v>217</v>
      </c>
    </row>
    <row r="717" spans="1:7" x14ac:dyDescent="0.25">
      <c r="A717">
        <v>716</v>
      </c>
      <c r="B717" t="s">
        <v>217</v>
      </c>
      <c r="C717" t="s">
        <v>220</v>
      </c>
      <c r="D717" t="s">
        <v>217</v>
      </c>
      <c r="E717" t="s">
        <v>216</v>
      </c>
      <c r="F717" t="s">
        <v>221</v>
      </c>
      <c r="G717" t="s">
        <v>216</v>
      </c>
    </row>
    <row r="718" spans="1:7" x14ac:dyDescent="0.25">
      <c r="A718">
        <v>717</v>
      </c>
      <c r="B718" t="s">
        <v>216</v>
      </c>
      <c r="C718" t="s">
        <v>216</v>
      </c>
      <c r="D718" t="s">
        <v>216</v>
      </c>
      <c r="E718" t="s">
        <v>216</v>
      </c>
      <c r="F718" t="s">
        <v>221</v>
      </c>
      <c r="G718" t="s">
        <v>219</v>
      </c>
    </row>
    <row r="719" spans="1:7" x14ac:dyDescent="0.25">
      <c r="A719">
        <v>718</v>
      </c>
      <c r="B719" t="s">
        <v>218</v>
      </c>
      <c r="C719" t="s">
        <v>217</v>
      </c>
      <c r="D719" t="s">
        <v>221</v>
      </c>
      <c r="E719" t="s">
        <v>217</v>
      </c>
      <c r="F719" t="s">
        <v>221</v>
      </c>
      <c r="G719" t="s">
        <v>221</v>
      </c>
    </row>
    <row r="720" spans="1:7" x14ac:dyDescent="0.25">
      <c r="A720">
        <v>719</v>
      </c>
      <c r="B720" t="s">
        <v>219</v>
      </c>
      <c r="C720" t="s">
        <v>217</v>
      </c>
      <c r="D720" t="s">
        <v>217</v>
      </c>
      <c r="E720" t="s">
        <v>218</v>
      </c>
      <c r="F720" t="s">
        <v>220</v>
      </c>
      <c r="G720" t="s">
        <v>216</v>
      </c>
    </row>
    <row r="721" spans="1:7" x14ac:dyDescent="0.25">
      <c r="A721">
        <v>720</v>
      </c>
      <c r="B721" t="s">
        <v>216</v>
      </c>
      <c r="C721" t="s">
        <v>217</v>
      </c>
      <c r="D721" t="s">
        <v>217</v>
      </c>
      <c r="E721" t="s">
        <v>216</v>
      </c>
      <c r="F721" t="s">
        <v>216</v>
      </c>
      <c r="G721" t="s">
        <v>216</v>
      </c>
    </row>
    <row r="722" spans="1:7" x14ac:dyDescent="0.25">
      <c r="A722">
        <v>721</v>
      </c>
      <c r="B722" t="s">
        <v>217</v>
      </c>
      <c r="C722" t="s">
        <v>220</v>
      </c>
      <c r="D722" t="s">
        <v>220</v>
      </c>
      <c r="E722" t="s">
        <v>217</v>
      </c>
      <c r="F722" t="s">
        <v>216</v>
      </c>
      <c r="G722" t="s">
        <v>216</v>
      </c>
    </row>
    <row r="723" spans="1:7" x14ac:dyDescent="0.25">
      <c r="A723">
        <v>722</v>
      </c>
      <c r="B723" t="s">
        <v>216</v>
      </c>
      <c r="C723" t="s">
        <v>219</v>
      </c>
      <c r="D723" t="s">
        <v>217</v>
      </c>
      <c r="E723" t="s">
        <v>221</v>
      </c>
      <c r="F723" t="s">
        <v>216</v>
      </c>
      <c r="G723" t="s">
        <v>217</v>
      </c>
    </row>
    <row r="724" spans="1:7" x14ac:dyDescent="0.25">
      <c r="A724">
        <v>723</v>
      </c>
      <c r="B724" t="s">
        <v>218</v>
      </c>
      <c r="C724" t="s">
        <v>217</v>
      </c>
      <c r="D724" t="s">
        <v>216</v>
      </c>
      <c r="E724" t="s">
        <v>221</v>
      </c>
      <c r="F724" t="s">
        <v>217</v>
      </c>
      <c r="G724" t="s">
        <v>221</v>
      </c>
    </row>
    <row r="725" spans="1:7" x14ac:dyDescent="0.25">
      <c r="A725">
        <v>724</v>
      </c>
      <c r="B725" t="s">
        <v>220</v>
      </c>
      <c r="C725" t="s">
        <v>221</v>
      </c>
      <c r="D725" t="s">
        <v>218</v>
      </c>
      <c r="E725" t="s">
        <v>217</v>
      </c>
      <c r="F725" t="s">
        <v>221</v>
      </c>
      <c r="G725" t="s">
        <v>221</v>
      </c>
    </row>
    <row r="726" spans="1:7" x14ac:dyDescent="0.25">
      <c r="A726">
        <v>725</v>
      </c>
      <c r="B726" t="s">
        <v>216</v>
      </c>
      <c r="C726" t="s">
        <v>221</v>
      </c>
      <c r="D726" t="s">
        <v>216</v>
      </c>
      <c r="E726" t="s">
        <v>219</v>
      </c>
      <c r="F726" t="s">
        <v>217</v>
      </c>
      <c r="G726" t="s">
        <v>221</v>
      </c>
    </row>
    <row r="727" spans="1:7" x14ac:dyDescent="0.25">
      <c r="A727">
        <v>726</v>
      </c>
      <c r="B727" t="s">
        <v>216</v>
      </c>
      <c r="C727" t="s">
        <v>220</v>
      </c>
      <c r="D727" t="s">
        <v>221</v>
      </c>
      <c r="E727" t="s">
        <v>221</v>
      </c>
      <c r="F727" t="s">
        <v>221</v>
      </c>
      <c r="G727" t="s">
        <v>221</v>
      </c>
    </row>
    <row r="728" spans="1:7" x14ac:dyDescent="0.25">
      <c r="A728">
        <v>727</v>
      </c>
      <c r="B728" t="s">
        <v>216</v>
      </c>
      <c r="C728" t="s">
        <v>221</v>
      </c>
      <c r="D728" t="s">
        <v>218</v>
      </c>
      <c r="E728" t="s">
        <v>221</v>
      </c>
      <c r="F728" t="s">
        <v>216</v>
      </c>
      <c r="G728" t="s">
        <v>218</v>
      </c>
    </row>
    <row r="729" spans="1:7" x14ac:dyDescent="0.25">
      <c r="A729">
        <v>728</v>
      </c>
      <c r="B729" t="s">
        <v>216</v>
      </c>
      <c r="C729" t="s">
        <v>216</v>
      </c>
      <c r="D729" t="s">
        <v>218</v>
      </c>
      <c r="E729" t="s">
        <v>219</v>
      </c>
      <c r="F729" t="s">
        <v>221</v>
      </c>
      <c r="G729" t="s">
        <v>218</v>
      </c>
    </row>
    <row r="730" spans="1:7" x14ac:dyDescent="0.25">
      <c r="A730">
        <v>729</v>
      </c>
      <c r="B730" t="s">
        <v>216</v>
      </c>
      <c r="C730" t="s">
        <v>217</v>
      </c>
      <c r="D730" t="s">
        <v>221</v>
      </c>
      <c r="E730" t="s">
        <v>221</v>
      </c>
      <c r="F730" t="s">
        <v>221</v>
      </c>
      <c r="G730" t="s">
        <v>221</v>
      </c>
    </row>
    <row r="731" spans="1:7" x14ac:dyDescent="0.25">
      <c r="A731">
        <v>730</v>
      </c>
      <c r="B731" t="s">
        <v>217</v>
      </c>
      <c r="C731" t="s">
        <v>221</v>
      </c>
      <c r="D731" t="s">
        <v>216</v>
      </c>
      <c r="E731" t="s">
        <v>216</v>
      </c>
      <c r="F731" t="s">
        <v>221</v>
      </c>
      <c r="G731" t="s">
        <v>217</v>
      </c>
    </row>
    <row r="732" spans="1:7" x14ac:dyDescent="0.25">
      <c r="A732">
        <v>731</v>
      </c>
      <c r="B732" t="s">
        <v>217</v>
      </c>
      <c r="C732" t="s">
        <v>217</v>
      </c>
      <c r="D732" t="s">
        <v>218</v>
      </c>
      <c r="E732" t="s">
        <v>221</v>
      </c>
      <c r="F732" t="s">
        <v>221</v>
      </c>
      <c r="G732" t="s">
        <v>221</v>
      </c>
    </row>
    <row r="733" spans="1:7" x14ac:dyDescent="0.25">
      <c r="A733">
        <v>732</v>
      </c>
      <c r="B733" t="s">
        <v>216</v>
      </c>
      <c r="C733" t="s">
        <v>221</v>
      </c>
      <c r="D733" t="s">
        <v>217</v>
      </c>
      <c r="E733" t="s">
        <v>221</v>
      </c>
      <c r="F733" t="s">
        <v>216</v>
      </c>
      <c r="G733" t="s">
        <v>221</v>
      </c>
    </row>
    <row r="734" spans="1:7" x14ac:dyDescent="0.25">
      <c r="A734">
        <v>733</v>
      </c>
      <c r="B734" t="s">
        <v>219</v>
      </c>
      <c r="C734" t="s">
        <v>221</v>
      </c>
      <c r="D734" t="s">
        <v>216</v>
      </c>
      <c r="E734" t="s">
        <v>221</v>
      </c>
      <c r="F734" t="s">
        <v>216</v>
      </c>
      <c r="G734" t="s">
        <v>220</v>
      </c>
    </row>
    <row r="735" spans="1:7" x14ac:dyDescent="0.25">
      <c r="A735">
        <v>734</v>
      </c>
      <c r="B735" t="s">
        <v>221</v>
      </c>
      <c r="C735" t="s">
        <v>219</v>
      </c>
      <c r="D735" t="s">
        <v>216</v>
      </c>
      <c r="E735" t="s">
        <v>216</v>
      </c>
      <c r="F735" t="s">
        <v>221</v>
      </c>
      <c r="G735" t="s">
        <v>221</v>
      </c>
    </row>
    <row r="736" spans="1:7" x14ac:dyDescent="0.25">
      <c r="A736">
        <v>735</v>
      </c>
      <c r="B736" t="s">
        <v>216</v>
      </c>
      <c r="C736" t="s">
        <v>217</v>
      </c>
      <c r="D736" t="s">
        <v>216</v>
      </c>
      <c r="E736" t="s">
        <v>221</v>
      </c>
      <c r="F736" t="s">
        <v>219</v>
      </c>
      <c r="G736" t="s">
        <v>221</v>
      </c>
    </row>
    <row r="737" spans="1:7" x14ac:dyDescent="0.25">
      <c r="A737">
        <v>736</v>
      </c>
      <c r="B737" t="s">
        <v>218</v>
      </c>
      <c r="C737" t="s">
        <v>220</v>
      </c>
      <c r="D737" t="s">
        <v>221</v>
      </c>
      <c r="E737" t="s">
        <v>216</v>
      </c>
      <c r="F737" t="s">
        <v>221</v>
      </c>
      <c r="G737" t="s">
        <v>219</v>
      </c>
    </row>
    <row r="738" spans="1:7" x14ac:dyDescent="0.25">
      <c r="A738">
        <v>737</v>
      </c>
      <c r="B738" t="s">
        <v>216</v>
      </c>
      <c r="C738" t="s">
        <v>217</v>
      </c>
      <c r="D738" t="s">
        <v>216</v>
      </c>
      <c r="E738" t="s">
        <v>216</v>
      </c>
      <c r="F738" t="s">
        <v>221</v>
      </c>
      <c r="G738" t="s">
        <v>216</v>
      </c>
    </row>
    <row r="739" spans="1:7" x14ac:dyDescent="0.25">
      <c r="A739">
        <v>738</v>
      </c>
      <c r="B739" t="s">
        <v>216</v>
      </c>
      <c r="C739" t="s">
        <v>217</v>
      </c>
      <c r="D739" t="s">
        <v>221</v>
      </c>
      <c r="E739" t="s">
        <v>221</v>
      </c>
      <c r="F739" t="s">
        <v>221</v>
      </c>
      <c r="G739" t="s">
        <v>221</v>
      </c>
    </row>
    <row r="740" spans="1:7" x14ac:dyDescent="0.25">
      <c r="A740">
        <v>739</v>
      </c>
      <c r="B740" t="s">
        <v>216</v>
      </c>
      <c r="C740" t="s">
        <v>217</v>
      </c>
      <c r="D740" t="s">
        <v>216</v>
      </c>
      <c r="E740" t="s">
        <v>216</v>
      </c>
      <c r="F740" t="s">
        <v>218</v>
      </c>
      <c r="G740" t="s">
        <v>218</v>
      </c>
    </row>
    <row r="741" spans="1:7" x14ac:dyDescent="0.25">
      <c r="A741">
        <v>740</v>
      </c>
      <c r="B741" t="s">
        <v>217</v>
      </c>
      <c r="C741" t="s">
        <v>219</v>
      </c>
      <c r="D741" t="s">
        <v>221</v>
      </c>
      <c r="E741" t="s">
        <v>221</v>
      </c>
      <c r="F741" t="s">
        <v>216</v>
      </c>
      <c r="G741" t="s">
        <v>221</v>
      </c>
    </row>
    <row r="742" spans="1:7" x14ac:dyDescent="0.25">
      <c r="A742">
        <v>741</v>
      </c>
      <c r="B742" t="s">
        <v>218</v>
      </c>
      <c r="C742" t="s">
        <v>216</v>
      </c>
      <c r="D742" t="s">
        <v>221</v>
      </c>
      <c r="E742" t="s">
        <v>221</v>
      </c>
      <c r="F742" t="s">
        <v>220</v>
      </c>
      <c r="G742" t="s">
        <v>216</v>
      </c>
    </row>
    <row r="743" spans="1:7" x14ac:dyDescent="0.25">
      <c r="A743">
        <v>742</v>
      </c>
      <c r="B743" t="s">
        <v>219</v>
      </c>
      <c r="C743" t="s">
        <v>216</v>
      </c>
      <c r="D743" t="s">
        <v>221</v>
      </c>
      <c r="E743" t="s">
        <v>216</v>
      </c>
      <c r="F743" t="s">
        <v>219</v>
      </c>
      <c r="G743" t="s">
        <v>221</v>
      </c>
    </row>
    <row r="744" spans="1:7" x14ac:dyDescent="0.25">
      <c r="A744">
        <v>743</v>
      </c>
      <c r="B744" t="s">
        <v>218</v>
      </c>
      <c r="C744" t="s">
        <v>216</v>
      </c>
      <c r="D744" t="s">
        <v>218</v>
      </c>
      <c r="E744" t="s">
        <v>218</v>
      </c>
      <c r="F744" t="s">
        <v>221</v>
      </c>
      <c r="G744" t="s">
        <v>216</v>
      </c>
    </row>
    <row r="745" spans="1:7" x14ac:dyDescent="0.25">
      <c r="A745">
        <v>744</v>
      </c>
      <c r="B745" t="s">
        <v>219</v>
      </c>
      <c r="C745" t="s">
        <v>218</v>
      </c>
      <c r="D745" t="s">
        <v>221</v>
      </c>
      <c r="E745" t="s">
        <v>217</v>
      </c>
      <c r="F745" t="s">
        <v>221</v>
      </c>
      <c r="G745" t="s">
        <v>216</v>
      </c>
    </row>
    <row r="746" spans="1:7" x14ac:dyDescent="0.25">
      <c r="A746">
        <v>745</v>
      </c>
      <c r="B746" t="s">
        <v>216</v>
      </c>
      <c r="C746" t="s">
        <v>217</v>
      </c>
      <c r="D746" t="s">
        <v>219</v>
      </c>
      <c r="E746" t="s">
        <v>218</v>
      </c>
      <c r="F746" t="s">
        <v>220</v>
      </c>
      <c r="G746" t="s">
        <v>220</v>
      </c>
    </row>
    <row r="747" spans="1:7" x14ac:dyDescent="0.25">
      <c r="A747">
        <v>746</v>
      </c>
      <c r="B747" t="s">
        <v>217</v>
      </c>
      <c r="C747" t="s">
        <v>217</v>
      </c>
      <c r="D747" t="s">
        <v>217</v>
      </c>
      <c r="E747" t="s">
        <v>219</v>
      </c>
      <c r="F747" t="s">
        <v>219</v>
      </c>
      <c r="G747" t="s">
        <v>221</v>
      </c>
    </row>
    <row r="748" spans="1:7" x14ac:dyDescent="0.25">
      <c r="A748">
        <v>747</v>
      </c>
      <c r="B748" t="s">
        <v>216</v>
      </c>
      <c r="C748" t="s">
        <v>217</v>
      </c>
      <c r="D748" t="s">
        <v>219</v>
      </c>
      <c r="E748" t="s">
        <v>217</v>
      </c>
      <c r="F748" t="s">
        <v>218</v>
      </c>
      <c r="G748" t="s">
        <v>216</v>
      </c>
    </row>
    <row r="749" spans="1:7" x14ac:dyDescent="0.25">
      <c r="A749">
        <v>748</v>
      </c>
      <c r="B749" t="s">
        <v>218</v>
      </c>
      <c r="C749" t="s">
        <v>218</v>
      </c>
      <c r="D749" t="s">
        <v>221</v>
      </c>
      <c r="E749" t="s">
        <v>221</v>
      </c>
      <c r="F749" t="s">
        <v>221</v>
      </c>
      <c r="G749" t="s">
        <v>217</v>
      </c>
    </row>
    <row r="750" spans="1:7" x14ac:dyDescent="0.25">
      <c r="A750">
        <v>749</v>
      </c>
      <c r="B750" t="s">
        <v>216</v>
      </c>
      <c r="C750" t="s">
        <v>216</v>
      </c>
      <c r="D750" t="s">
        <v>216</v>
      </c>
      <c r="E750" t="s">
        <v>216</v>
      </c>
      <c r="F750" t="s">
        <v>221</v>
      </c>
      <c r="G750" t="s">
        <v>220</v>
      </c>
    </row>
    <row r="751" spans="1:7" x14ac:dyDescent="0.25">
      <c r="A751">
        <v>750</v>
      </c>
      <c r="B751" t="s">
        <v>216</v>
      </c>
      <c r="C751" t="s">
        <v>217</v>
      </c>
      <c r="D751" t="s">
        <v>217</v>
      </c>
      <c r="E751" t="s">
        <v>219</v>
      </c>
      <c r="F751" t="s">
        <v>221</v>
      </c>
      <c r="G751" t="s">
        <v>216</v>
      </c>
    </row>
    <row r="752" spans="1:7" x14ac:dyDescent="0.25">
      <c r="A752">
        <v>751</v>
      </c>
      <c r="B752" t="s">
        <v>217</v>
      </c>
      <c r="C752" t="s">
        <v>216</v>
      </c>
      <c r="D752" t="s">
        <v>217</v>
      </c>
      <c r="E752" t="s">
        <v>221</v>
      </c>
      <c r="F752" t="s">
        <v>221</v>
      </c>
      <c r="G752" t="s">
        <v>221</v>
      </c>
    </row>
    <row r="753" spans="1:7" x14ac:dyDescent="0.25">
      <c r="A753">
        <v>752</v>
      </c>
      <c r="B753" t="s">
        <v>217</v>
      </c>
      <c r="C753" t="s">
        <v>218</v>
      </c>
      <c r="D753" t="s">
        <v>216</v>
      </c>
      <c r="E753" t="s">
        <v>221</v>
      </c>
      <c r="F753" t="s">
        <v>216</v>
      </c>
      <c r="G753" t="s">
        <v>220</v>
      </c>
    </row>
    <row r="754" spans="1:7" x14ac:dyDescent="0.25">
      <c r="A754">
        <v>753</v>
      </c>
      <c r="B754" t="s">
        <v>217</v>
      </c>
      <c r="C754" t="s">
        <v>221</v>
      </c>
      <c r="D754" t="s">
        <v>221</v>
      </c>
      <c r="E754" t="s">
        <v>221</v>
      </c>
      <c r="F754" t="s">
        <v>221</v>
      </c>
      <c r="G754" t="s">
        <v>221</v>
      </c>
    </row>
    <row r="755" spans="1:7" x14ac:dyDescent="0.25">
      <c r="A755">
        <v>754</v>
      </c>
      <c r="B755" t="s">
        <v>218</v>
      </c>
      <c r="C755" t="s">
        <v>216</v>
      </c>
      <c r="D755" t="s">
        <v>217</v>
      </c>
      <c r="E755" t="s">
        <v>216</v>
      </c>
      <c r="F755" t="s">
        <v>216</v>
      </c>
      <c r="G755" t="s">
        <v>218</v>
      </c>
    </row>
    <row r="756" spans="1:7" x14ac:dyDescent="0.25">
      <c r="A756">
        <v>755</v>
      </c>
      <c r="B756" t="s">
        <v>217</v>
      </c>
      <c r="C756" t="s">
        <v>216</v>
      </c>
      <c r="D756" t="s">
        <v>220</v>
      </c>
      <c r="E756" t="s">
        <v>221</v>
      </c>
      <c r="F756" t="s">
        <v>216</v>
      </c>
      <c r="G756" t="s">
        <v>218</v>
      </c>
    </row>
    <row r="757" spans="1:7" x14ac:dyDescent="0.25">
      <c r="A757">
        <v>756</v>
      </c>
      <c r="B757" t="s">
        <v>218</v>
      </c>
      <c r="C757" t="s">
        <v>216</v>
      </c>
      <c r="D757" t="s">
        <v>217</v>
      </c>
      <c r="E757" t="s">
        <v>216</v>
      </c>
      <c r="F757" t="s">
        <v>217</v>
      </c>
      <c r="G757" t="s">
        <v>221</v>
      </c>
    </row>
    <row r="758" spans="1:7" x14ac:dyDescent="0.25">
      <c r="A758">
        <v>757</v>
      </c>
      <c r="B758" t="s">
        <v>218</v>
      </c>
      <c r="C758" t="s">
        <v>220</v>
      </c>
      <c r="D758" t="s">
        <v>221</v>
      </c>
      <c r="E758" t="s">
        <v>219</v>
      </c>
      <c r="F758" t="s">
        <v>218</v>
      </c>
      <c r="G758" t="s">
        <v>221</v>
      </c>
    </row>
    <row r="759" spans="1:7" x14ac:dyDescent="0.25">
      <c r="A759">
        <v>758</v>
      </c>
      <c r="B759" t="s">
        <v>220</v>
      </c>
      <c r="C759" t="s">
        <v>216</v>
      </c>
      <c r="D759" t="s">
        <v>216</v>
      </c>
      <c r="E759" t="s">
        <v>217</v>
      </c>
      <c r="F759" t="s">
        <v>218</v>
      </c>
      <c r="G759" t="s">
        <v>219</v>
      </c>
    </row>
    <row r="760" spans="1:7" x14ac:dyDescent="0.25">
      <c r="A760">
        <v>759</v>
      </c>
      <c r="B760" t="s">
        <v>220</v>
      </c>
      <c r="C760" t="s">
        <v>221</v>
      </c>
      <c r="D760" t="s">
        <v>221</v>
      </c>
      <c r="E760" t="s">
        <v>216</v>
      </c>
      <c r="F760" t="s">
        <v>221</v>
      </c>
      <c r="G760" t="s">
        <v>216</v>
      </c>
    </row>
    <row r="761" spans="1:7" x14ac:dyDescent="0.25">
      <c r="A761">
        <v>760</v>
      </c>
      <c r="B761" t="s">
        <v>216</v>
      </c>
      <c r="C761" t="s">
        <v>216</v>
      </c>
      <c r="D761" t="s">
        <v>216</v>
      </c>
      <c r="E761" t="s">
        <v>221</v>
      </c>
      <c r="F761" t="s">
        <v>216</v>
      </c>
      <c r="G761" t="s">
        <v>221</v>
      </c>
    </row>
    <row r="762" spans="1:7" x14ac:dyDescent="0.25">
      <c r="A762">
        <v>761</v>
      </c>
      <c r="B762" t="s">
        <v>221</v>
      </c>
      <c r="C762" t="s">
        <v>217</v>
      </c>
      <c r="D762" t="s">
        <v>217</v>
      </c>
      <c r="E762" t="s">
        <v>217</v>
      </c>
      <c r="F762" t="s">
        <v>221</v>
      </c>
      <c r="G762" t="s">
        <v>221</v>
      </c>
    </row>
    <row r="763" spans="1:7" x14ac:dyDescent="0.25">
      <c r="A763">
        <v>762</v>
      </c>
      <c r="B763" t="s">
        <v>220</v>
      </c>
      <c r="C763" t="s">
        <v>219</v>
      </c>
      <c r="D763" t="s">
        <v>221</v>
      </c>
      <c r="E763" t="s">
        <v>216</v>
      </c>
      <c r="F763" t="s">
        <v>216</v>
      </c>
      <c r="G763" t="s">
        <v>221</v>
      </c>
    </row>
    <row r="764" spans="1:7" x14ac:dyDescent="0.25">
      <c r="A764">
        <v>763</v>
      </c>
      <c r="B764" t="s">
        <v>218</v>
      </c>
      <c r="C764" t="s">
        <v>220</v>
      </c>
      <c r="D764" t="s">
        <v>221</v>
      </c>
      <c r="E764" t="s">
        <v>221</v>
      </c>
      <c r="F764" t="s">
        <v>221</v>
      </c>
      <c r="G764" t="s">
        <v>220</v>
      </c>
    </row>
    <row r="765" spans="1:7" x14ac:dyDescent="0.25">
      <c r="A765">
        <v>764</v>
      </c>
      <c r="B765" t="s">
        <v>216</v>
      </c>
      <c r="C765" t="s">
        <v>217</v>
      </c>
      <c r="D765" t="s">
        <v>217</v>
      </c>
      <c r="E765" t="s">
        <v>220</v>
      </c>
      <c r="F765" t="s">
        <v>216</v>
      </c>
      <c r="G765" t="s">
        <v>216</v>
      </c>
    </row>
    <row r="766" spans="1:7" x14ac:dyDescent="0.25">
      <c r="A766">
        <v>765</v>
      </c>
      <c r="B766" t="s">
        <v>218</v>
      </c>
      <c r="C766" t="s">
        <v>217</v>
      </c>
      <c r="D766" t="s">
        <v>220</v>
      </c>
      <c r="E766" t="s">
        <v>219</v>
      </c>
      <c r="F766" t="s">
        <v>221</v>
      </c>
      <c r="G766" t="s">
        <v>218</v>
      </c>
    </row>
    <row r="767" spans="1:7" x14ac:dyDescent="0.25">
      <c r="A767">
        <v>766</v>
      </c>
      <c r="B767" t="s">
        <v>217</v>
      </c>
      <c r="C767" t="s">
        <v>218</v>
      </c>
      <c r="D767" t="s">
        <v>216</v>
      </c>
      <c r="E767" t="s">
        <v>221</v>
      </c>
      <c r="F767" t="s">
        <v>218</v>
      </c>
      <c r="G767" t="s">
        <v>221</v>
      </c>
    </row>
    <row r="768" spans="1:7" x14ac:dyDescent="0.25">
      <c r="A768">
        <v>767</v>
      </c>
      <c r="B768" t="s">
        <v>220</v>
      </c>
      <c r="C768" t="s">
        <v>219</v>
      </c>
      <c r="D768" t="s">
        <v>218</v>
      </c>
      <c r="E768" t="s">
        <v>219</v>
      </c>
      <c r="F768" t="s">
        <v>220</v>
      </c>
      <c r="G768" t="s">
        <v>216</v>
      </c>
    </row>
    <row r="769" spans="1:7" x14ac:dyDescent="0.25">
      <c r="A769">
        <v>768</v>
      </c>
      <c r="B769" t="s">
        <v>221</v>
      </c>
      <c r="C769" t="s">
        <v>220</v>
      </c>
      <c r="D769" t="s">
        <v>219</v>
      </c>
      <c r="E769" t="s">
        <v>216</v>
      </c>
      <c r="F769" t="s">
        <v>220</v>
      </c>
      <c r="G769" t="s">
        <v>219</v>
      </c>
    </row>
    <row r="770" spans="1:7" x14ac:dyDescent="0.25">
      <c r="A770">
        <v>769</v>
      </c>
      <c r="B770" t="s">
        <v>216</v>
      </c>
      <c r="C770" t="s">
        <v>221</v>
      </c>
      <c r="D770" t="s">
        <v>219</v>
      </c>
      <c r="E770" t="s">
        <v>221</v>
      </c>
      <c r="F770" t="s">
        <v>220</v>
      </c>
      <c r="G770" t="s">
        <v>221</v>
      </c>
    </row>
    <row r="771" spans="1:7" x14ac:dyDescent="0.25">
      <c r="A771">
        <v>770</v>
      </c>
      <c r="B771" t="s">
        <v>219</v>
      </c>
      <c r="C771" t="s">
        <v>216</v>
      </c>
      <c r="D771" t="s">
        <v>218</v>
      </c>
      <c r="E771" t="s">
        <v>218</v>
      </c>
      <c r="F771" t="s">
        <v>216</v>
      </c>
      <c r="G771" t="s">
        <v>216</v>
      </c>
    </row>
    <row r="772" spans="1:7" x14ac:dyDescent="0.25">
      <c r="A772">
        <v>771</v>
      </c>
      <c r="B772" t="s">
        <v>217</v>
      </c>
      <c r="C772" t="s">
        <v>221</v>
      </c>
      <c r="D772" t="s">
        <v>217</v>
      </c>
      <c r="E772" t="s">
        <v>221</v>
      </c>
      <c r="F772" t="s">
        <v>221</v>
      </c>
      <c r="G772" t="s">
        <v>220</v>
      </c>
    </row>
    <row r="773" spans="1:7" x14ac:dyDescent="0.25">
      <c r="A773">
        <v>772</v>
      </c>
      <c r="B773" t="s">
        <v>217</v>
      </c>
      <c r="C773" t="s">
        <v>217</v>
      </c>
      <c r="D773" t="s">
        <v>218</v>
      </c>
      <c r="E773" t="s">
        <v>218</v>
      </c>
      <c r="F773" t="s">
        <v>217</v>
      </c>
      <c r="G773" t="s">
        <v>218</v>
      </c>
    </row>
    <row r="774" spans="1:7" x14ac:dyDescent="0.25">
      <c r="A774">
        <v>773</v>
      </c>
      <c r="B774" t="s">
        <v>217</v>
      </c>
      <c r="C774" t="s">
        <v>217</v>
      </c>
      <c r="D774" t="s">
        <v>221</v>
      </c>
      <c r="E774" t="s">
        <v>216</v>
      </c>
      <c r="F774" t="s">
        <v>216</v>
      </c>
      <c r="G774" t="s">
        <v>221</v>
      </c>
    </row>
    <row r="775" spans="1:7" x14ac:dyDescent="0.25">
      <c r="A775">
        <v>774</v>
      </c>
      <c r="B775" t="s">
        <v>216</v>
      </c>
      <c r="C775" t="s">
        <v>216</v>
      </c>
      <c r="D775" t="s">
        <v>216</v>
      </c>
      <c r="E775" t="s">
        <v>216</v>
      </c>
      <c r="F775" t="s">
        <v>217</v>
      </c>
      <c r="G775" t="s">
        <v>217</v>
      </c>
    </row>
    <row r="776" spans="1:7" x14ac:dyDescent="0.25">
      <c r="A776">
        <v>775</v>
      </c>
      <c r="B776" t="s">
        <v>216</v>
      </c>
      <c r="C776" t="s">
        <v>221</v>
      </c>
      <c r="D776" t="s">
        <v>218</v>
      </c>
      <c r="E776" t="s">
        <v>221</v>
      </c>
      <c r="F776" t="s">
        <v>218</v>
      </c>
      <c r="G776" t="s">
        <v>218</v>
      </c>
    </row>
    <row r="777" spans="1:7" x14ac:dyDescent="0.25">
      <c r="A777">
        <v>776</v>
      </c>
      <c r="B777" t="s">
        <v>218</v>
      </c>
      <c r="C777" t="s">
        <v>216</v>
      </c>
      <c r="D777" t="s">
        <v>218</v>
      </c>
      <c r="E777" t="s">
        <v>221</v>
      </c>
      <c r="F777" t="s">
        <v>221</v>
      </c>
      <c r="G777" t="s">
        <v>217</v>
      </c>
    </row>
    <row r="778" spans="1:7" x14ac:dyDescent="0.25">
      <c r="A778">
        <v>777</v>
      </c>
      <c r="B778" t="s">
        <v>217</v>
      </c>
      <c r="C778" t="s">
        <v>220</v>
      </c>
      <c r="D778" t="s">
        <v>217</v>
      </c>
      <c r="E778" t="s">
        <v>216</v>
      </c>
      <c r="F778" t="s">
        <v>220</v>
      </c>
      <c r="G778" t="s">
        <v>221</v>
      </c>
    </row>
    <row r="779" spans="1:7" x14ac:dyDescent="0.25">
      <c r="A779">
        <v>778</v>
      </c>
      <c r="B779" t="s">
        <v>218</v>
      </c>
      <c r="C779" t="s">
        <v>219</v>
      </c>
      <c r="D779" t="s">
        <v>218</v>
      </c>
      <c r="E779" t="s">
        <v>221</v>
      </c>
      <c r="F779" t="s">
        <v>216</v>
      </c>
      <c r="G779" t="s">
        <v>216</v>
      </c>
    </row>
    <row r="780" spans="1:7" x14ac:dyDescent="0.25">
      <c r="A780">
        <v>779</v>
      </c>
      <c r="B780" t="s">
        <v>216</v>
      </c>
      <c r="C780" t="s">
        <v>218</v>
      </c>
      <c r="D780" t="s">
        <v>217</v>
      </c>
      <c r="E780" t="s">
        <v>218</v>
      </c>
      <c r="F780" t="s">
        <v>216</v>
      </c>
      <c r="G780" t="s">
        <v>221</v>
      </c>
    </row>
    <row r="781" spans="1:7" x14ac:dyDescent="0.25">
      <c r="A781">
        <v>780</v>
      </c>
      <c r="B781" t="s">
        <v>217</v>
      </c>
      <c r="C781" t="s">
        <v>216</v>
      </c>
      <c r="D781" t="s">
        <v>217</v>
      </c>
      <c r="E781" t="s">
        <v>221</v>
      </c>
      <c r="F781" t="s">
        <v>216</v>
      </c>
      <c r="G781" t="s">
        <v>221</v>
      </c>
    </row>
    <row r="782" spans="1:7" x14ac:dyDescent="0.25">
      <c r="A782">
        <v>781</v>
      </c>
      <c r="B782" t="s">
        <v>216</v>
      </c>
      <c r="C782" t="s">
        <v>221</v>
      </c>
      <c r="D782" t="s">
        <v>216</v>
      </c>
      <c r="E782" t="s">
        <v>216</v>
      </c>
      <c r="F782" t="s">
        <v>221</v>
      </c>
      <c r="G782" t="s">
        <v>221</v>
      </c>
    </row>
    <row r="783" spans="1:7" x14ac:dyDescent="0.25">
      <c r="A783">
        <v>782</v>
      </c>
      <c r="B783" t="s">
        <v>217</v>
      </c>
      <c r="C783" t="s">
        <v>216</v>
      </c>
      <c r="D783" t="s">
        <v>219</v>
      </c>
      <c r="E783" t="s">
        <v>216</v>
      </c>
      <c r="F783" t="s">
        <v>221</v>
      </c>
      <c r="G783" t="s">
        <v>221</v>
      </c>
    </row>
    <row r="784" spans="1:7" x14ac:dyDescent="0.25">
      <c r="A784">
        <v>783</v>
      </c>
      <c r="B784" t="s">
        <v>217</v>
      </c>
      <c r="C784" t="s">
        <v>216</v>
      </c>
      <c r="D784" t="s">
        <v>218</v>
      </c>
      <c r="E784" t="s">
        <v>217</v>
      </c>
      <c r="F784" t="s">
        <v>221</v>
      </c>
      <c r="G784" t="s">
        <v>216</v>
      </c>
    </row>
    <row r="785" spans="1:7" x14ac:dyDescent="0.25">
      <c r="A785">
        <v>784</v>
      </c>
      <c r="B785" t="s">
        <v>219</v>
      </c>
      <c r="C785" t="s">
        <v>218</v>
      </c>
      <c r="D785" t="s">
        <v>217</v>
      </c>
      <c r="E785" t="s">
        <v>220</v>
      </c>
      <c r="F785" t="s">
        <v>221</v>
      </c>
      <c r="G785" t="s">
        <v>219</v>
      </c>
    </row>
    <row r="786" spans="1:7" x14ac:dyDescent="0.25">
      <c r="A786">
        <v>785</v>
      </c>
      <c r="B786" t="s">
        <v>219</v>
      </c>
      <c r="C786" t="s">
        <v>219</v>
      </c>
      <c r="D786" t="s">
        <v>219</v>
      </c>
      <c r="E786" t="s">
        <v>221</v>
      </c>
      <c r="F786" t="s">
        <v>216</v>
      </c>
      <c r="G786" t="s">
        <v>220</v>
      </c>
    </row>
    <row r="787" spans="1:7" x14ac:dyDescent="0.25">
      <c r="A787">
        <v>786</v>
      </c>
      <c r="B787" t="s">
        <v>218</v>
      </c>
      <c r="C787" t="s">
        <v>221</v>
      </c>
      <c r="D787" t="s">
        <v>221</v>
      </c>
      <c r="E787" t="s">
        <v>216</v>
      </c>
      <c r="F787" t="s">
        <v>219</v>
      </c>
      <c r="G787" t="s">
        <v>220</v>
      </c>
    </row>
    <row r="788" spans="1:7" x14ac:dyDescent="0.25">
      <c r="A788">
        <v>787</v>
      </c>
      <c r="B788" t="s">
        <v>216</v>
      </c>
      <c r="C788" t="s">
        <v>218</v>
      </c>
      <c r="D788" t="s">
        <v>216</v>
      </c>
      <c r="E788" t="s">
        <v>216</v>
      </c>
      <c r="F788" t="s">
        <v>221</v>
      </c>
      <c r="G788" t="s">
        <v>217</v>
      </c>
    </row>
    <row r="789" spans="1:7" x14ac:dyDescent="0.25">
      <c r="A789">
        <v>788</v>
      </c>
      <c r="B789" t="s">
        <v>220</v>
      </c>
      <c r="C789" t="s">
        <v>221</v>
      </c>
      <c r="D789" t="s">
        <v>217</v>
      </c>
      <c r="E789" t="s">
        <v>220</v>
      </c>
      <c r="F789" t="s">
        <v>217</v>
      </c>
      <c r="G789" t="s">
        <v>221</v>
      </c>
    </row>
    <row r="790" spans="1:7" x14ac:dyDescent="0.25">
      <c r="A790">
        <v>789</v>
      </c>
      <c r="B790" t="s">
        <v>218</v>
      </c>
      <c r="C790" t="s">
        <v>220</v>
      </c>
      <c r="D790" t="s">
        <v>220</v>
      </c>
      <c r="E790" t="s">
        <v>221</v>
      </c>
      <c r="F790" t="s">
        <v>221</v>
      </c>
      <c r="G790" t="s">
        <v>221</v>
      </c>
    </row>
    <row r="791" spans="1:7" x14ac:dyDescent="0.25">
      <c r="A791">
        <v>790</v>
      </c>
      <c r="B791" t="s">
        <v>219</v>
      </c>
      <c r="C791" t="s">
        <v>216</v>
      </c>
      <c r="D791" t="s">
        <v>217</v>
      </c>
      <c r="E791" t="s">
        <v>221</v>
      </c>
      <c r="F791" t="s">
        <v>217</v>
      </c>
      <c r="G791" t="s">
        <v>218</v>
      </c>
    </row>
    <row r="792" spans="1:7" x14ac:dyDescent="0.25">
      <c r="A792">
        <v>791</v>
      </c>
      <c r="B792" t="s">
        <v>219</v>
      </c>
      <c r="C792" t="s">
        <v>221</v>
      </c>
      <c r="D792" t="s">
        <v>217</v>
      </c>
      <c r="E792" t="s">
        <v>221</v>
      </c>
      <c r="F792" t="s">
        <v>216</v>
      </c>
      <c r="G792" t="s">
        <v>217</v>
      </c>
    </row>
    <row r="793" spans="1:7" x14ac:dyDescent="0.25">
      <c r="A793">
        <v>792</v>
      </c>
      <c r="B793" t="s">
        <v>219</v>
      </c>
      <c r="C793" t="s">
        <v>217</v>
      </c>
      <c r="D793" t="s">
        <v>218</v>
      </c>
      <c r="E793" t="s">
        <v>220</v>
      </c>
      <c r="F793" t="s">
        <v>216</v>
      </c>
      <c r="G793" t="s">
        <v>221</v>
      </c>
    </row>
    <row r="794" spans="1:7" x14ac:dyDescent="0.25">
      <c r="A794">
        <v>793</v>
      </c>
      <c r="B794" t="s">
        <v>216</v>
      </c>
      <c r="C794" t="s">
        <v>216</v>
      </c>
      <c r="D794" t="s">
        <v>221</v>
      </c>
      <c r="E794" t="s">
        <v>216</v>
      </c>
      <c r="F794" t="s">
        <v>220</v>
      </c>
      <c r="G794" t="s">
        <v>221</v>
      </c>
    </row>
    <row r="795" spans="1:7" x14ac:dyDescent="0.25">
      <c r="A795">
        <v>794</v>
      </c>
      <c r="B795" t="s">
        <v>216</v>
      </c>
      <c r="C795" t="s">
        <v>221</v>
      </c>
      <c r="D795" t="s">
        <v>218</v>
      </c>
      <c r="E795" t="s">
        <v>216</v>
      </c>
      <c r="F795" t="s">
        <v>218</v>
      </c>
      <c r="G795" t="s">
        <v>221</v>
      </c>
    </row>
    <row r="796" spans="1:7" x14ac:dyDescent="0.25">
      <c r="A796">
        <v>795</v>
      </c>
      <c r="B796" t="s">
        <v>217</v>
      </c>
      <c r="C796" t="s">
        <v>219</v>
      </c>
      <c r="D796" t="s">
        <v>216</v>
      </c>
      <c r="E796" t="s">
        <v>221</v>
      </c>
      <c r="F796" t="s">
        <v>218</v>
      </c>
      <c r="G796" t="s">
        <v>221</v>
      </c>
    </row>
    <row r="797" spans="1:7" x14ac:dyDescent="0.25">
      <c r="A797">
        <v>796</v>
      </c>
      <c r="B797" t="s">
        <v>219</v>
      </c>
      <c r="C797" t="s">
        <v>221</v>
      </c>
      <c r="D797" t="s">
        <v>219</v>
      </c>
      <c r="E797" t="s">
        <v>221</v>
      </c>
      <c r="F797" t="s">
        <v>221</v>
      </c>
      <c r="G797" t="s">
        <v>217</v>
      </c>
    </row>
    <row r="798" spans="1:7" x14ac:dyDescent="0.25">
      <c r="A798">
        <v>797</v>
      </c>
      <c r="B798" t="s">
        <v>216</v>
      </c>
      <c r="C798" t="s">
        <v>216</v>
      </c>
      <c r="D798" t="s">
        <v>219</v>
      </c>
      <c r="E798" t="s">
        <v>221</v>
      </c>
      <c r="F798" t="s">
        <v>221</v>
      </c>
      <c r="G798" t="s">
        <v>218</v>
      </c>
    </row>
    <row r="799" spans="1:7" x14ac:dyDescent="0.25">
      <c r="A799">
        <v>798</v>
      </c>
      <c r="B799" t="s">
        <v>220</v>
      </c>
      <c r="C799" t="s">
        <v>216</v>
      </c>
      <c r="D799" t="s">
        <v>216</v>
      </c>
      <c r="E799" t="s">
        <v>217</v>
      </c>
      <c r="F799" t="s">
        <v>221</v>
      </c>
      <c r="G799" t="s">
        <v>220</v>
      </c>
    </row>
    <row r="800" spans="1:7" x14ac:dyDescent="0.25">
      <c r="A800">
        <v>799</v>
      </c>
      <c r="B800" t="s">
        <v>216</v>
      </c>
      <c r="C800" t="s">
        <v>216</v>
      </c>
      <c r="D800" t="s">
        <v>219</v>
      </c>
      <c r="E800" t="s">
        <v>220</v>
      </c>
      <c r="F800" t="s">
        <v>221</v>
      </c>
      <c r="G800" t="s">
        <v>221</v>
      </c>
    </row>
    <row r="801" spans="1:7" x14ac:dyDescent="0.25">
      <c r="A801">
        <v>800</v>
      </c>
      <c r="B801" t="s">
        <v>218</v>
      </c>
      <c r="C801" t="s">
        <v>216</v>
      </c>
      <c r="D801" t="s">
        <v>221</v>
      </c>
      <c r="E801" t="s">
        <v>221</v>
      </c>
      <c r="F801" t="s">
        <v>218</v>
      </c>
      <c r="G801" t="s">
        <v>221</v>
      </c>
    </row>
    <row r="802" spans="1:7" x14ac:dyDescent="0.25">
      <c r="A802">
        <v>801</v>
      </c>
      <c r="B802" t="s">
        <v>217</v>
      </c>
      <c r="C802" t="s">
        <v>218</v>
      </c>
      <c r="D802" t="s">
        <v>217</v>
      </c>
      <c r="E802" t="s">
        <v>217</v>
      </c>
      <c r="F802" t="s">
        <v>217</v>
      </c>
      <c r="G802" t="s">
        <v>220</v>
      </c>
    </row>
    <row r="803" spans="1:7" x14ac:dyDescent="0.25">
      <c r="A803">
        <v>802</v>
      </c>
      <c r="B803" t="s">
        <v>216</v>
      </c>
      <c r="C803" t="s">
        <v>221</v>
      </c>
      <c r="D803" t="s">
        <v>221</v>
      </c>
      <c r="E803" t="s">
        <v>217</v>
      </c>
      <c r="F803" t="s">
        <v>219</v>
      </c>
      <c r="G803" t="s">
        <v>221</v>
      </c>
    </row>
    <row r="804" spans="1:7" x14ac:dyDescent="0.25">
      <c r="A804">
        <v>803</v>
      </c>
      <c r="B804" t="s">
        <v>218</v>
      </c>
      <c r="C804" t="s">
        <v>220</v>
      </c>
      <c r="D804" t="s">
        <v>218</v>
      </c>
      <c r="E804" t="s">
        <v>221</v>
      </c>
      <c r="F804" t="s">
        <v>220</v>
      </c>
      <c r="G804" t="s">
        <v>221</v>
      </c>
    </row>
    <row r="805" spans="1:7" x14ac:dyDescent="0.25">
      <c r="A805">
        <v>804</v>
      </c>
      <c r="B805" t="s">
        <v>219</v>
      </c>
      <c r="C805" t="s">
        <v>216</v>
      </c>
      <c r="D805" t="s">
        <v>221</v>
      </c>
      <c r="E805" t="s">
        <v>221</v>
      </c>
      <c r="F805" t="s">
        <v>216</v>
      </c>
      <c r="G805" t="s">
        <v>218</v>
      </c>
    </row>
    <row r="806" spans="1:7" x14ac:dyDescent="0.25">
      <c r="A806">
        <v>805</v>
      </c>
      <c r="B806" t="s">
        <v>221</v>
      </c>
      <c r="C806" t="s">
        <v>219</v>
      </c>
      <c r="D806" t="s">
        <v>218</v>
      </c>
      <c r="E806" t="s">
        <v>217</v>
      </c>
      <c r="F806" t="s">
        <v>216</v>
      </c>
      <c r="G806" t="s">
        <v>221</v>
      </c>
    </row>
    <row r="807" spans="1:7" x14ac:dyDescent="0.25">
      <c r="A807">
        <v>806</v>
      </c>
      <c r="B807" t="s">
        <v>217</v>
      </c>
      <c r="C807" t="s">
        <v>219</v>
      </c>
      <c r="D807" t="s">
        <v>216</v>
      </c>
      <c r="E807" t="s">
        <v>220</v>
      </c>
      <c r="F807" t="s">
        <v>216</v>
      </c>
      <c r="G807" t="s">
        <v>217</v>
      </c>
    </row>
    <row r="808" spans="1:7" x14ac:dyDescent="0.25">
      <c r="A808">
        <v>807</v>
      </c>
      <c r="B808" t="s">
        <v>217</v>
      </c>
      <c r="C808" t="s">
        <v>217</v>
      </c>
      <c r="D808" t="s">
        <v>221</v>
      </c>
      <c r="E808" t="s">
        <v>216</v>
      </c>
      <c r="F808" t="s">
        <v>221</v>
      </c>
      <c r="G808" t="s">
        <v>216</v>
      </c>
    </row>
    <row r="809" spans="1:7" x14ac:dyDescent="0.25">
      <c r="A809">
        <v>808</v>
      </c>
      <c r="B809" t="s">
        <v>221</v>
      </c>
      <c r="C809" t="s">
        <v>217</v>
      </c>
      <c r="D809" t="s">
        <v>219</v>
      </c>
      <c r="E809" t="s">
        <v>216</v>
      </c>
      <c r="F809" t="s">
        <v>216</v>
      </c>
      <c r="G809" t="s">
        <v>220</v>
      </c>
    </row>
    <row r="810" spans="1:7" x14ac:dyDescent="0.25">
      <c r="A810">
        <v>809</v>
      </c>
      <c r="B810" t="s">
        <v>219</v>
      </c>
      <c r="C810" t="s">
        <v>219</v>
      </c>
      <c r="D810" t="s">
        <v>217</v>
      </c>
      <c r="E810" t="s">
        <v>221</v>
      </c>
      <c r="F810" t="s">
        <v>221</v>
      </c>
      <c r="G810" t="s">
        <v>221</v>
      </c>
    </row>
    <row r="811" spans="1:7" x14ac:dyDescent="0.25">
      <c r="A811">
        <v>810</v>
      </c>
      <c r="B811" t="s">
        <v>217</v>
      </c>
      <c r="C811" t="s">
        <v>216</v>
      </c>
      <c r="D811" t="s">
        <v>216</v>
      </c>
      <c r="E811" t="s">
        <v>221</v>
      </c>
      <c r="F811" t="s">
        <v>221</v>
      </c>
      <c r="G811" t="s">
        <v>218</v>
      </c>
    </row>
    <row r="812" spans="1:7" x14ac:dyDescent="0.25">
      <c r="A812">
        <v>811</v>
      </c>
      <c r="B812" t="s">
        <v>218</v>
      </c>
      <c r="C812" t="s">
        <v>216</v>
      </c>
      <c r="D812" t="s">
        <v>217</v>
      </c>
      <c r="E812" t="s">
        <v>217</v>
      </c>
      <c r="F812" t="s">
        <v>220</v>
      </c>
      <c r="G812" t="s">
        <v>216</v>
      </c>
    </row>
    <row r="813" spans="1:7" x14ac:dyDescent="0.25">
      <c r="A813">
        <v>812</v>
      </c>
      <c r="B813" t="s">
        <v>219</v>
      </c>
      <c r="C813" t="s">
        <v>221</v>
      </c>
      <c r="D813" t="s">
        <v>217</v>
      </c>
      <c r="E813" t="s">
        <v>221</v>
      </c>
      <c r="F813" t="s">
        <v>221</v>
      </c>
      <c r="G813" t="s">
        <v>221</v>
      </c>
    </row>
    <row r="814" spans="1:7" x14ac:dyDescent="0.25">
      <c r="A814">
        <v>813</v>
      </c>
      <c r="B814" t="s">
        <v>219</v>
      </c>
      <c r="C814" t="s">
        <v>219</v>
      </c>
      <c r="D814" t="s">
        <v>219</v>
      </c>
      <c r="E814" t="s">
        <v>219</v>
      </c>
      <c r="F814" t="s">
        <v>221</v>
      </c>
      <c r="G814" t="s">
        <v>216</v>
      </c>
    </row>
    <row r="815" spans="1:7" x14ac:dyDescent="0.25">
      <c r="A815">
        <v>814</v>
      </c>
      <c r="B815" t="s">
        <v>216</v>
      </c>
      <c r="C815" t="s">
        <v>216</v>
      </c>
      <c r="D815" t="s">
        <v>216</v>
      </c>
      <c r="E815" t="s">
        <v>221</v>
      </c>
      <c r="F815" t="s">
        <v>219</v>
      </c>
      <c r="G815" t="s">
        <v>221</v>
      </c>
    </row>
    <row r="816" spans="1:7" x14ac:dyDescent="0.25">
      <c r="A816">
        <v>815</v>
      </c>
      <c r="B816" t="s">
        <v>216</v>
      </c>
      <c r="C816" t="s">
        <v>217</v>
      </c>
      <c r="D816" t="s">
        <v>218</v>
      </c>
      <c r="E816" t="s">
        <v>219</v>
      </c>
      <c r="F816" t="s">
        <v>216</v>
      </c>
      <c r="G816" t="s">
        <v>221</v>
      </c>
    </row>
    <row r="817" spans="1:7" x14ac:dyDescent="0.25">
      <c r="A817">
        <v>816</v>
      </c>
      <c r="B817" t="s">
        <v>218</v>
      </c>
      <c r="C817" t="s">
        <v>216</v>
      </c>
      <c r="D817" t="s">
        <v>218</v>
      </c>
      <c r="E817" t="s">
        <v>221</v>
      </c>
      <c r="F817" t="s">
        <v>221</v>
      </c>
      <c r="G817" t="s">
        <v>217</v>
      </c>
    </row>
    <row r="818" spans="1:7" x14ac:dyDescent="0.25">
      <c r="A818">
        <v>817</v>
      </c>
      <c r="B818" t="s">
        <v>216</v>
      </c>
      <c r="C818" t="s">
        <v>216</v>
      </c>
      <c r="D818" t="s">
        <v>217</v>
      </c>
      <c r="E818" t="s">
        <v>221</v>
      </c>
      <c r="F818" t="s">
        <v>221</v>
      </c>
      <c r="G818" t="s">
        <v>218</v>
      </c>
    </row>
    <row r="819" spans="1:7" x14ac:dyDescent="0.25">
      <c r="A819">
        <v>818</v>
      </c>
      <c r="B819" t="s">
        <v>217</v>
      </c>
      <c r="C819" t="s">
        <v>220</v>
      </c>
      <c r="D819" t="s">
        <v>221</v>
      </c>
      <c r="E819" t="s">
        <v>221</v>
      </c>
      <c r="F819" t="s">
        <v>221</v>
      </c>
      <c r="G819" t="s">
        <v>216</v>
      </c>
    </row>
    <row r="820" spans="1:7" x14ac:dyDescent="0.25">
      <c r="A820">
        <v>819</v>
      </c>
      <c r="B820" t="s">
        <v>216</v>
      </c>
      <c r="C820" t="s">
        <v>216</v>
      </c>
      <c r="D820" t="s">
        <v>218</v>
      </c>
      <c r="E820" t="s">
        <v>221</v>
      </c>
      <c r="F820" t="s">
        <v>217</v>
      </c>
      <c r="G820" t="s">
        <v>221</v>
      </c>
    </row>
    <row r="821" spans="1:7" x14ac:dyDescent="0.25">
      <c r="A821">
        <v>820</v>
      </c>
      <c r="B821" t="s">
        <v>220</v>
      </c>
      <c r="C821" t="s">
        <v>218</v>
      </c>
      <c r="D821" t="s">
        <v>221</v>
      </c>
      <c r="E821" t="s">
        <v>219</v>
      </c>
      <c r="F821" t="s">
        <v>221</v>
      </c>
      <c r="G821" t="s">
        <v>218</v>
      </c>
    </row>
    <row r="822" spans="1:7" x14ac:dyDescent="0.25">
      <c r="A822">
        <v>821</v>
      </c>
      <c r="B822" t="s">
        <v>219</v>
      </c>
      <c r="C822" t="s">
        <v>217</v>
      </c>
      <c r="D822" t="s">
        <v>219</v>
      </c>
      <c r="E822" t="s">
        <v>218</v>
      </c>
      <c r="F822" t="s">
        <v>221</v>
      </c>
      <c r="G822" t="s">
        <v>217</v>
      </c>
    </row>
    <row r="823" spans="1:7" x14ac:dyDescent="0.25">
      <c r="A823">
        <v>822</v>
      </c>
      <c r="B823" t="s">
        <v>217</v>
      </c>
      <c r="C823" t="s">
        <v>218</v>
      </c>
      <c r="D823" t="s">
        <v>221</v>
      </c>
      <c r="E823" t="s">
        <v>221</v>
      </c>
      <c r="F823" t="s">
        <v>219</v>
      </c>
      <c r="G823" t="s">
        <v>219</v>
      </c>
    </row>
    <row r="824" spans="1:7" x14ac:dyDescent="0.25">
      <c r="A824">
        <v>823</v>
      </c>
      <c r="B824" t="s">
        <v>218</v>
      </c>
      <c r="C824" t="s">
        <v>216</v>
      </c>
      <c r="D824" t="s">
        <v>217</v>
      </c>
      <c r="E824" t="s">
        <v>221</v>
      </c>
      <c r="F824" t="s">
        <v>218</v>
      </c>
      <c r="G824" t="s">
        <v>216</v>
      </c>
    </row>
    <row r="825" spans="1:7" x14ac:dyDescent="0.25">
      <c r="A825">
        <v>824</v>
      </c>
      <c r="B825" t="s">
        <v>216</v>
      </c>
      <c r="C825" t="s">
        <v>218</v>
      </c>
      <c r="D825" t="s">
        <v>221</v>
      </c>
      <c r="E825" t="s">
        <v>218</v>
      </c>
      <c r="F825" t="s">
        <v>220</v>
      </c>
      <c r="G825" t="s">
        <v>216</v>
      </c>
    </row>
    <row r="826" spans="1:7" x14ac:dyDescent="0.25">
      <c r="A826">
        <v>825</v>
      </c>
      <c r="B826" t="s">
        <v>218</v>
      </c>
      <c r="C826" t="s">
        <v>217</v>
      </c>
      <c r="D826" t="s">
        <v>216</v>
      </c>
      <c r="E826" t="s">
        <v>221</v>
      </c>
      <c r="F826" t="s">
        <v>217</v>
      </c>
      <c r="G826" t="s">
        <v>221</v>
      </c>
    </row>
    <row r="827" spans="1:7" x14ac:dyDescent="0.25">
      <c r="A827">
        <v>826</v>
      </c>
      <c r="B827" t="s">
        <v>219</v>
      </c>
      <c r="C827" t="s">
        <v>218</v>
      </c>
      <c r="D827" t="s">
        <v>221</v>
      </c>
      <c r="E827" t="s">
        <v>220</v>
      </c>
      <c r="F827" t="s">
        <v>221</v>
      </c>
      <c r="G827" t="s">
        <v>217</v>
      </c>
    </row>
    <row r="828" spans="1:7" x14ac:dyDescent="0.25">
      <c r="A828">
        <v>827</v>
      </c>
      <c r="B828" t="s">
        <v>216</v>
      </c>
      <c r="C828" t="s">
        <v>220</v>
      </c>
      <c r="D828" t="s">
        <v>216</v>
      </c>
      <c r="E828" t="s">
        <v>216</v>
      </c>
      <c r="F828" t="s">
        <v>221</v>
      </c>
      <c r="G828" t="s">
        <v>221</v>
      </c>
    </row>
    <row r="829" spans="1:7" x14ac:dyDescent="0.25">
      <c r="A829">
        <v>828</v>
      </c>
      <c r="B829" t="s">
        <v>219</v>
      </c>
      <c r="C829" t="s">
        <v>221</v>
      </c>
      <c r="D829" t="s">
        <v>220</v>
      </c>
      <c r="E829" t="s">
        <v>216</v>
      </c>
      <c r="F829" t="s">
        <v>216</v>
      </c>
      <c r="G829" t="s">
        <v>216</v>
      </c>
    </row>
    <row r="830" spans="1:7" x14ac:dyDescent="0.25">
      <c r="A830">
        <v>829</v>
      </c>
      <c r="B830" t="s">
        <v>216</v>
      </c>
      <c r="C830" t="s">
        <v>219</v>
      </c>
      <c r="D830" t="s">
        <v>221</v>
      </c>
      <c r="E830" t="s">
        <v>221</v>
      </c>
      <c r="F830" t="s">
        <v>217</v>
      </c>
      <c r="G830" t="s">
        <v>221</v>
      </c>
    </row>
    <row r="831" spans="1:7" x14ac:dyDescent="0.25">
      <c r="A831">
        <v>830</v>
      </c>
      <c r="B831" t="s">
        <v>217</v>
      </c>
      <c r="C831" t="s">
        <v>216</v>
      </c>
      <c r="D831" t="s">
        <v>216</v>
      </c>
      <c r="E831" t="s">
        <v>221</v>
      </c>
      <c r="F831" t="s">
        <v>217</v>
      </c>
      <c r="G831" t="s">
        <v>220</v>
      </c>
    </row>
    <row r="832" spans="1:7" x14ac:dyDescent="0.25">
      <c r="A832">
        <v>831</v>
      </c>
      <c r="B832" t="s">
        <v>217</v>
      </c>
      <c r="C832" t="s">
        <v>217</v>
      </c>
      <c r="D832" t="s">
        <v>219</v>
      </c>
      <c r="E832" t="s">
        <v>221</v>
      </c>
      <c r="F832" t="s">
        <v>219</v>
      </c>
      <c r="G832" t="s">
        <v>216</v>
      </c>
    </row>
    <row r="833" spans="1:7" x14ac:dyDescent="0.25">
      <c r="A833">
        <v>832</v>
      </c>
      <c r="B833" t="s">
        <v>219</v>
      </c>
      <c r="C833" t="s">
        <v>216</v>
      </c>
      <c r="D833" t="s">
        <v>221</v>
      </c>
      <c r="E833" t="s">
        <v>218</v>
      </c>
      <c r="F833" t="s">
        <v>217</v>
      </c>
      <c r="G833" t="s">
        <v>216</v>
      </c>
    </row>
    <row r="834" spans="1:7" x14ac:dyDescent="0.25">
      <c r="A834">
        <v>833</v>
      </c>
      <c r="B834" t="s">
        <v>220</v>
      </c>
      <c r="C834" t="s">
        <v>216</v>
      </c>
      <c r="D834" t="s">
        <v>219</v>
      </c>
      <c r="E834" t="s">
        <v>221</v>
      </c>
      <c r="F834" t="s">
        <v>218</v>
      </c>
      <c r="G834" t="s">
        <v>218</v>
      </c>
    </row>
    <row r="835" spans="1:7" x14ac:dyDescent="0.25">
      <c r="A835">
        <v>834</v>
      </c>
      <c r="B835" t="s">
        <v>218</v>
      </c>
      <c r="C835" t="s">
        <v>216</v>
      </c>
      <c r="D835" t="s">
        <v>216</v>
      </c>
      <c r="E835" t="s">
        <v>221</v>
      </c>
      <c r="F835" t="s">
        <v>221</v>
      </c>
      <c r="G835" t="s">
        <v>217</v>
      </c>
    </row>
    <row r="836" spans="1:7" x14ac:dyDescent="0.25">
      <c r="A836">
        <v>835</v>
      </c>
      <c r="B836" t="s">
        <v>218</v>
      </c>
      <c r="C836" t="s">
        <v>216</v>
      </c>
      <c r="D836" t="s">
        <v>221</v>
      </c>
      <c r="E836" t="s">
        <v>216</v>
      </c>
      <c r="F836" t="s">
        <v>221</v>
      </c>
      <c r="G836" t="s">
        <v>216</v>
      </c>
    </row>
    <row r="837" spans="1:7" x14ac:dyDescent="0.25">
      <c r="A837">
        <v>836</v>
      </c>
      <c r="B837" t="s">
        <v>216</v>
      </c>
      <c r="C837" t="s">
        <v>220</v>
      </c>
      <c r="D837" t="s">
        <v>216</v>
      </c>
      <c r="E837" t="s">
        <v>216</v>
      </c>
      <c r="F837" t="s">
        <v>216</v>
      </c>
      <c r="G837" t="s">
        <v>218</v>
      </c>
    </row>
    <row r="838" spans="1:7" x14ac:dyDescent="0.25">
      <c r="A838">
        <v>837</v>
      </c>
      <c r="B838" t="s">
        <v>217</v>
      </c>
      <c r="C838" t="s">
        <v>217</v>
      </c>
      <c r="D838" t="s">
        <v>217</v>
      </c>
      <c r="E838" t="s">
        <v>221</v>
      </c>
      <c r="F838" t="s">
        <v>216</v>
      </c>
      <c r="G838" t="s">
        <v>221</v>
      </c>
    </row>
    <row r="839" spans="1:7" x14ac:dyDescent="0.25">
      <c r="A839">
        <v>838</v>
      </c>
      <c r="B839" t="s">
        <v>216</v>
      </c>
      <c r="C839" t="s">
        <v>217</v>
      </c>
      <c r="D839" t="s">
        <v>218</v>
      </c>
      <c r="E839" t="s">
        <v>221</v>
      </c>
      <c r="F839" t="s">
        <v>216</v>
      </c>
      <c r="G839" t="s">
        <v>220</v>
      </c>
    </row>
    <row r="840" spans="1:7" x14ac:dyDescent="0.25">
      <c r="A840">
        <v>839</v>
      </c>
      <c r="B840" t="s">
        <v>217</v>
      </c>
      <c r="C840" t="s">
        <v>216</v>
      </c>
      <c r="D840" t="s">
        <v>216</v>
      </c>
      <c r="E840" t="s">
        <v>218</v>
      </c>
      <c r="F840" t="s">
        <v>221</v>
      </c>
      <c r="G840" t="s">
        <v>217</v>
      </c>
    </row>
    <row r="841" spans="1:7" x14ac:dyDescent="0.25">
      <c r="A841">
        <v>840</v>
      </c>
      <c r="B841" t="s">
        <v>219</v>
      </c>
      <c r="C841" t="s">
        <v>217</v>
      </c>
      <c r="D841" t="s">
        <v>219</v>
      </c>
      <c r="E841" t="s">
        <v>221</v>
      </c>
      <c r="F841" t="s">
        <v>221</v>
      </c>
      <c r="G841" t="s">
        <v>216</v>
      </c>
    </row>
    <row r="842" spans="1:7" x14ac:dyDescent="0.25">
      <c r="A842">
        <v>841</v>
      </c>
      <c r="B842" t="s">
        <v>219</v>
      </c>
      <c r="C842" t="s">
        <v>219</v>
      </c>
      <c r="D842" t="s">
        <v>221</v>
      </c>
      <c r="E842" t="s">
        <v>219</v>
      </c>
      <c r="F842" t="s">
        <v>216</v>
      </c>
      <c r="G842" t="s">
        <v>221</v>
      </c>
    </row>
    <row r="843" spans="1:7" x14ac:dyDescent="0.25">
      <c r="A843">
        <v>842</v>
      </c>
      <c r="B843" t="s">
        <v>216</v>
      </c>
      <c r="C843" t="s">
        <v>216</v>
      </c>
      <c r="D843" t="s">
        <v>221</v>
      </c>
      <c r="E843" t="s">
        <v>221</v>
      </c>
      <c r="F843" t="s">
        <v>221</v>
      </c>
      <c r="G843" t="s">
        <v>217</v>
      </c>
    </row>
    <row r="844" spans="1:7" x14ac:dyDescent="0.25">
      <c r="A844">
        <v>843</v>
      </c>
      <c r="B844" t="s">
        <v>218</v>
      </c>
      <c r="C844" t="s">
        <v>217</v>
      </c>
      <c r="D844" t="s">
        <v>218</v>
      </c>
      <c r="E844" t="s">
        <v>221</v>
      </c>
      <c r="F844" t="s">
        <v>221</v>
      </c>
      <c r="G844" t="s">
        <v>221</v>
      </c>
    </row>
    <row r="845" spans="1:7" x14ac:dyDescent="0.25">
      <c r="A845">
        <v>844</v>
      </c>
      <c r="B845" t="s">
        <v>216</v>
      </c>
      <c r="C845" t="s">
        <v>221</v>
      </c>
      <c r="D845" t="s">
        <v>221</v>
      </c>
      <c r="E845" t="s">
        <v>221</v>
      </c>
      <c r="F845" t="s">
        <v>221</v>
      </c>
      <c r="G845" t="s">
        <v>221</v>
      </c>
    </row>
    <row r="846" spans="1:7" x14ac:dyDescent="0.25">
      <c r="A846">
        <v>845</v>
      </c>
      <c r="B846" t="s">
        <v>220</v>
      </c>
      <c r="C846" t="s">
        <v>216</v>
      </c>
      <c r="D846" t="s">
        <v>217</v>
      </c>
      <c r="E846" t="s">
        <v>218</v>
      </c>
      <c r="F846" t="s">
        <v>221</v>
      </c>
      <c r="G846" t="s">
        <v>216</v>
      </c>
    </row>
    <row r="847" spans="1:7" x14ac:dyDescent="0.25">
      <c r="A847">
        <v>846</v>
      </c>
      <c r="B847" t="s">
        <v>217</v>
      </c>
      <c r="C847" t="s">
        <v>221</v>
      </c>
      <c r="D847" t="s">
        <v>216</v>
      </c>
      <c r="E847" t="s">
        <v>217</v>
      </c>
      <c r="F847" t="s">
        <v>221</v>
      </c>
      <c r="G847" t="s">
        <v>218</v>
      </c>
    </row>
    <row r="848" spans="1:7" x14ac:dyDescent="0.25">
      <c r="A848">
        <v>847</v>
      </c>
      <c r="B848" t="s">
        <v>216</v>
      </c>
      <c r="C848" t="s">
        <v>221</v>
      </c>
      <c r="D848" t="s">
        <v>216</v>
      </c>
      <c r="E848" t="s">
        <v>221</v>
      </c>
      <c r="F848" t="s">
        <v>218</v>
      </c>
      <c r="G848" t="s">
        <v>221</v>
      </c>
    </row>
    <row r="849" spans="1:7" x14ac:dyDescent="0.25">
      <c r="A849">
        <v>848</v>
      </c>
      <c r="B849" t="s">
        <v>218</v>
      </c>
      <c r="C849" t="s">
        <v>219</v>
      </c>
      <c r="D849" t="s">
        <v>221</v>
      </c>
      <c r="E849" t="s">
        <v>221</v>
      </c>
      <c r="F849" t="s">
        <v>218</v>
      </c>
      <c r="G849" t="s">
        <v>216</v>
      </c>
    </row>
    <row r="850" spans="1:7" x14ac:dyDescent="0.25">
      <c r="A850">
        <v>849</v>
      </c>
      <c r="B850" t="s">
        <v>216</v>
      </c>
      <c r="C850" t="s">
        <v>221</v>
      </c>
      <c r="D850" t="s">
        <v>217</v>
      </c>
      <c r="E850" t="s">
        <v>219</v>
      </c>
      <c r="F850" t="s">
        <v>217</v>
      </c>
      <c r="G850" t="s">
        <v>218</v>
      </c>
    </row>
    <row r="851" spans="1:7" x14ac:dyDescent="0.25">
      <c r="A851">
        <v>850</v>
      </c>
      <c r="B851" t="s">
        <v>219</v>
      </c>
      <c r="C851" t="s">
        <v>216</v>
      </c>
      <c r="D851" t="s">
        <v>221</v>
      </c>
      <c r="E851" t="s">
        <v>221</v>
      </c>
      <c r="F851" t="s">
        <v>216</v>
      </c>
      <c r="G851" t="s">
        <v>221</v>
      </c>
    </row>
    <row r="852" spans="1:7" x14ac:dyDescent="0.25">
      <c r="A852">
        <v>851</v>
      </c>
      <c r="B852" t="s">
        <v>216</v>
      </c>
      <c r="C852" t="s">
        <v>221</v>
      </c>
      <c r="D852" t="s">
        <v>217</v>
      </c>
      <c r="E852" t="s">
        <v>221</v>
      </c>
      <c r="F852" t="s">
        <v>221</v>
      </c>
      <c r="G852" t="s">
        <v>221</v>
      </c>
    </row>
    <row r="853" spans="1:7" x14ac:dyDescent="0.25">
      <c r="A853">
        <v>852</v>
      </c>
      <c r="B853" t="s">
        <v>218</v>
      </c>
      <c r="C853" t="s">
        <v>217</v>
      </c>
      <c r="D853" t="s">
        <v>217</v>
      </c>
      <c r="E853" t="s">
        <v>217</v>
      </c>
      <c r="F853" t="s">
        <v>219</v>
      </c>
      <c r="G853" t="s">
        <v>221</v>
      </c>
    </row>
    <row r="854" spans="1:7" x14ac:dyDescent="0.25">
      <c r="A854">
        <v>853</v>
      </c>
      <c r="B854" t="s">
        <v>216</v>
      </c>
      <c r="C854" t="s">
        <v>220</v>
      </c>
      <c r="D854" t="s">
        <v>217</v>
      </c>
      <c r="E854" t="s">
        <v>217</v>
      </c>
      <c r="F854" t="s">
        <v>221</v>
      </c>
      <c r="G854" t="s">
        <v>221</v>
      </c>
    </row>
    <row r="855" spans="1:7" x14ac:dyDescent="0.25">
      <c r="A855">
        <v>854</v>
      </c>
      <c r="B855" t="s">
        <v>216</v>
      </c>
      <c r="C855" t="s">
        <v>220</v>
      </c>
      <c r="D855" t="s">
        <v>216</v>
      </c>
      <c r="E855" t="s">
        <v>218</v>
      </c>
      <c r="F855" t="s">
        <v>221</v>
      </c>
      <c r="G855" t="s">
        <v>221</v>
      </c>
    </row>
    <row r="856" spans="1:7" x14ac:dyDescent="0.25">
      <c r="A856">
        <v>855</v>
      </c>
      <c r="B856" t="s">
        <v>217</v>
      </c>
      <c r="C856" t="s">
        <v>216</v>
      </c>
      <c r="D856" t="s">
        <v>219</v>
      </c>
      <c r="E856" t="s">
        <v>217</v>
      </c>
      <c r="F856" t="s">
        <v>216</v>
      </c>
      <c r="G856" t="s">
        <v>216</v>
      </c>
    </row>
    <row r="857" spans="1:7" x14ac:dyDescent="0.25">
      <c r="A857">
        <v>856</v>
      </c>
      <c r="B857" t="s">
        <v>218</v>
      </c>
      <c r="C857" t="s">
        <v>216</v>
      </c>
      <c r="D857" t="s">
        <v>221</v>
      </c>
      <c r="E857" t="s">
        <v>221</v>
      </c>
      <c r="F857" t="s">
        <v>221</v>
      </c>
      <c r="G857" t="s">
        <v>216</v>
      </c>
    </row>
    <row r="858" spans="1:7" x14ac:dyDescent="0.25">
      <c r="A858">
        <v>857</v>
      </c>
      <c r="B858" t="s">
        <v>221</v>
      </c>
      <c r="C858" t="s">
        <v>216</v>
      </c>
      <c r="D858" t="s">
        <v>221</v>
      </c>
      <c r="E858" t="s">
        <v>217</v>
      </c>
      <c r="F858" t="s">
        <v>220</v>
      </c>
      <c r="G858" t="s">
        <v>221</v>
      </c>
    </row>
    <row r="859" spans="1:7" x14ac:dyDescent="0.25">
      <c r="A859">
        <v>858</v>
      </c>
      <c r="B859" t="s">
        <v>217</v>
      </c>
      <c r="C859" t="s">
        <v>218</v>
      </c>
      <c r="D859" t="s">
        <v>217</v>
      </c>
      <c r="E859" t="s">
        <v>218</v>
      </c>
      <c r="F859" t="s">
        <v>221</v>
      </c>
      <c r="G859" t="s">
        <v>221</v>
      </c>
    </row>
    <row r="860" spans="1:7" x14ac:dyDescent="0.25">
      <c r="A860">
        <v>859</v>
      </c>
      <c r="B860" t="s">
        <v>217</v>
      </c>
      <c r="C860" t="s">
        <v>217</v>
      </c>
      <c r="D860" t="s">
        <v>221</v>
      </c>
      <c r="E860" t="s">
        <v>216</v>
      </c>
      <c r="F860" t="s">
        <v>217</v>
      </c>
      <c r="G860" t="s">
        <v>221</v>
      </c>
    </row>
    <row r="861" spans="1:7" x14ac:dyDescent="0.25">
      <c r="A861">
        <v>860</v>
      </c>
      <c r="B861" t="s">
        <v>220</v>
      </c>
      <c r="C861" t="s">
        <v>217</v>
      </c>
      <c r="D861" t="s">
        <v>218</v>
      </c>
      <c r="E861" t="s">
        <v>221</v>
      </c>
      <c r="F861" t="s">
        <v>221</v>
      </c>
      <c r="G861" t="s">
        <v>221</v>
      </c>
    </row>
    <row r="862" spans="1:7" x14ac:dyDescent="0.25">
      <c r="A862">
        <v>861</v>
      </c>
      <c r="B862" t="s">
        <v>216</v>
      </c>
      <c r="C862" t="s">
        <v>216</v>
      </c>
      <c r="D862" t="s">
        <v>216</v>
      </c>
      <c r="E862" t="s">
        <v>216</v>
      </c>
      <c r="F862" t="s">
        <v>221</v>
      </c>
      <c r="G862" t="s">
        <v>217</v>
      </c>
    </row>
    <row r="863" spans="1:7" x14ac:dyDescent="0.25">
      <c r="A863">
        <v>862</v>
      </c>
      <c r="B863" t="s">
        <v>216</v>
      </c>
      <c r="C863" t="s">
        <v>216</v>
      </c>
      <c r="D863" t="s">
        <v>221</v>
      </c>
      <c r="E863" t="s">
        <v>220</v>
      </c>
      <c r="F863" t="s">
        <v>217</v>
      </c>
      <c r="G863" t="s">
        <v>221</v>
      </c>
    </row>
    <row r="864" spans="1:7" x14ac:dyDescent="0.25">
      <c r="A864">
        <v>863</v>
      </c>
      <c r="B864" t="s">
        <v>216</v>
      </c>
      <c r="C864" t="s">
        <v>220</v>
      </c>
      <c r="D864" t="s">
        <v>217</v>
      </c>
      <c r="E864" t="s">
        <v>216</v>
      </c>
      <c r="F864" t="s">
        <v>221</v>
      </c>
      <c r="G864" t="s">
        <v>216</v>
      </c>
    </row>
    <row r="865" spans="1:7" x14ac:dyDescent="0.25">
      <c r="A865">
        <v>864</v>
      </c>
      <c r="B865" t="s">
        <v>216</v>
      </c>
      <c r="C865" t="s">
        <v>219</v>
      </c>
      <c r="D865" t="s">
        <v>216</v>
      </c>
      <c r="E865" t="s">
        <v>221</v>
      </c>
      <c r="F865" t="s">
        <v>221</v>
      </c>
      <c r="G865" t="s">
        <v>218</v>
      </c>
    </row>
    <row r="866" spans="1:7" x14ac:dyDescent="0.25">
      <c r="A866">
        <v>865</v>
      </c>
      <c r="B866" t="s">
        <v>216</v>
      </c>
      <c r="C866" t="s">
        <v>216</v>
      </c>
      <c r="D866" t="s">
        <v>221</v>
      </c>
      <c r="E866" t="s">
        <v>217</v>
      </c>
      <c r="F866" t="s">
        <v>221</v>
      </c>
      <c r="G866" t="s">
        <v>217</v>
      </c>
    </row>
    <row r="867" spans="1:7" x14ac:dyDescent="0.25">
      <c r="A867">
        <v>866</v>
      </c>
      <c r="B867" t="s">
        <v>216</v>
      </c>
      <c r="C867" t="s">
        <v>217</v>
      </c>
      <c r="D867" t="s">
        <v>217</v>
      </c>
      <c r="E867" t="s">
        <v>217</v>
      </c>
      <c r="F867" t="s">
        <v>217</v>
      </c>
      <c r="G867" t="s">
        <v>221</v>
      </c>
    </row>
    <row r="868" spans="1:7" x14ac:dyDescent="0.25">
      <c r="A868">
        <v>867</v>
      </c>
      <c r="B868" t="s">
        <v>218</v>
      </c>
      <c r="C868" t="s">
        <v>216</v>
      </c>
      <c r="D868" t="s">
        <v>221</v>
      </c>
      <c r="E868" t="s">
        <v>217</v>
      </c>
      <c r="F868" t="s">
        <v>221</v>
      </c>
      <c r="G868" t="s">
        <v>217</v>
      </c>
    </row>
    <row r="869" spans="1:7" x14ac:dyDescent="0.25">
      <c r="A869">
        <v>868</v>
      </c>
      <c r="B869" t="s">
        <v>218</v>
      </c>
      <c r="C869" t="s">
        <v>217</v>
      </c>
      <c r="D869" t="s">
        <v>221</v>
      </c>
      <c r="E869" t="s">
        <v>221</v>
      </c>
      <c r="F869" t="s">
        <v>221</v>
      </c>
      <c r="G869" t="s">
        <v>221</v>
      </c>
    </row>
    <row r="870" spans="1:7" x14ac:dyDescent="0.25">
      <c r="A870">
        <v>869</v>
      </c>
      <c r="B870" t="s">
        <v>219</v>
      </c>
      <c r="C870" t="s">
        <v>216</v>
      </c>
      <c r="D870" t="s">
        <v>216</v>
      </c>
      <c r="E870" t="s">
        <v>221</v>
      </c>
      <c r="F870" t="s">
        <v>218</v>
      </c>
      <c r="G870" t="s">
        <v>221</v>
      </c>
    </row>
    <row r="871" spans="1:7" x14ac:dyDescent="0.25">
      <c r="A871">
        <v>870</v>
      </c>
      <c r="B871" t="s">
        <v>218</v>
      </c>
      <c r="C871" t="s">
        <v>216</v>
      </c>
      <c r="D871" t="s">
        <v>217</v>
      </c>
      <c r="E871" t="s">
        <v>216</v>
      </c>
      <c r="F871" t="s">
        <v>221</v>
      </c>
      <c r="G871" t="s">
        <v>221</v>
      </c>
    </row>
    <row r="872" spans="1:7" x14ac:dyDescent="0.25">
      <c r="A872">
        <v>871</v>
      </c>
      <c r="B872" t="s">
        <v>219</v>
      </c>
      <c r="C872" t="s">
        <v>218</v>
      </c>
      <c r="D872" t="s">
        <v>217</v>
      </c>
      <c r="E872" t="s">
        <v>216</v>
      </c>
      <c r="F872" t="s">
        <v>221</v>
      </c>
      <c r="G872" t="s">
        <v>221</v>
      </c>
    </row>
    <row r="873" spans="1:7" x14ac:dyDescent="0.25">
      <c r="A873">
        <v>872</v>
      </c>
      <c r="B873" t="s">
        <v>216</v>
      </c>
      <c r="C873" t="s">
        <v>218</v>
      </c>
      <c r="D873" t="s">
        <v>216</v>
      </c>
      <c r="E873" t="s">
        <v>220</v>
      </c>
      <c r="F873" t="s">
        <v>221</v>
      </c>
      <c r="G873" t="s">
        <v>221</v>
      </c>
    </row>
    <row r="874" spans="1:7" x14ac:dyDescent="0.25">
      <c r="A874">
        <v>873</v>
      </c>
      <c r="B874" t="s">
        <v>216</v>
      </c>
      <c r="C874" t="s">
        <v>221</v>
      </c>
      <c r="D874" t="s">
        <v>219</v>
      </c>
      <c r="E874" t="s">
        <v>217</v>
      </c>
      <c r="F874" t="s">
        <v>219</v>
      </c>
      <c r="G874" t="s">
        <v>216</v>
      </c>
    </row>
    <row r="875" spans="1:7" x14ac:dyDescent="0.25">
      <c r="A875">
        <v>874</v>
      </c>
      <c r="B875" t="s">
        <v>216</v>
      </c>
      <c r="C875" t="s">
        <v>221</v>
      </c>
      <c r="D875" t="s">
        <v>217</v>
      </c>
      <c r="E875" t="s">
        <v>221</v>
      </c>
      <c r="F875" t="s">
        <v>221</v>
      </c>
      <c r="G875" t="s">
        <v>221</v>
      </c>
    </row>
    <row r="876" spans="1:7" x14ac:dyDescent="0.25">
      <c r="A876">
        <v>875</v>
      </c>
      <c r="B876" t="s">
        <v>217</v>
      </c>
      <c r="C876" t="s">
        <v>216</v>
      </c>
      <c r="D876" t="s">
        <v>216</v>
      </c>
      <c r="E876" t="s">
        <v>221</v>
      </c>
      <c r="F876" t="s">
        <v>217</v>
      </c>
      <c r="G876" t="s">
        <v>218</v>
      </c>
    </row>
    <row r="877" spans="1:7" x14ac:dyDescent="0.25">
      <c r="A877">
        <v>876</v>
      </c>
      <c r="B877" t="s">
        <v>216</v>
      </c>
      <c r="C877" t="s">
        <v>216</v>
      </c>
      <c r="D877" t="s">
        <v>221</v>
      </c>
      <c r="E877" t="s">
        <v>216</v>
      </c>
      <c r="F877" t="s">
        <v>221</v>
      </c>
      <c r="G877" t="s">
        <v>221</v>
      </c>
    </row>
    <row r="878" spans="1:7" x14ac:dyDescent="0.25">
      <c r="A878">
        <v>877</v>
      </c>
      <c r="B878" t="s">
        <v>216</v>
      </c>
      <c r="C878" t="s">
        <v>216</v>
      </c>
      <c r="D878" t="s">
        <v>220</v>
      </c>
      <c r="E878" t="s">
        <v>217</v>
      </c>
      <c r="F878" t="s">
        <v>217</v>
      </c>
      <c r="G878" t="s">
        <v>219</v>
      </c>
    </row>
    <row r="879" spans="1:7" x14ac:dyDescent="0.25">
      <c r="A879">
        <v>878</v>
      </c>
      <c r="B879" t="s">
        <v>216</v>
      </c>
      <c r="C879" t="s">
        <v>216</v>
      </c>
      <c r="D879" t="s">
        <v>221</v>
      </c>
      <c r="E879" t="s">
        <v>219</v>
      </c>
      <c r="F879" t="s">
        <v>221</v>
      </c>
      <c r="G879" t="s">
        <v>221</v>
      </c>
    </row>
    <row r="880" spans="1:7" x14ac:dyDescent="0.25">
      <c r="A880">
        <v>879</v>
      </c>
      <c r="B880" t="s">
        <v>218</v>
      </c>
      <c r="C880" t="s">
        <v>217</v>
      </c>
      <c r="D880" t="s">
        <v>216</v>
      </c>
      <c r="E880" t="s">
        <v>216</v>
      </c>
      <c r="F880" t="s">
        <v>219</v>
      </c>
      <c r="G880" t="s">
        <v>221</v>
      </c>
    </row>
    <row r="881" spans="1:7" x14ac:dyDescent="0.25">
      <c r="A881">
        <v>880</v>
      </c>
      <c r="B881" t="s">
        <v>216</v>
      </c>
      <c r="C881" t="s">
        <v>219</v>
      </c>
      <c r="D881" t="s">
        <v>218</v>
      </c>
      <c r="E881" t="s">
        <v>216</v>
      </c>
      <c r="F881" t="s">
        <v>221</v>
      </c>
      <c r="G881" t="s">
        <v>219</v>
      </c>
    </row>
    <row r="882" spans="1:7" x14ac:dyDescent="0.25">
      <c r="A882">
        <v>881</v>
      </c>
      <c r="B882" t="s">
        <v>216</v>
      </c>
      <c r="C882" t="s">
        <v>216</v>
      </c>
      <c r="D882" t="s">
        <v>216</v>
      </c>
      <c r="E882" t="s">
        <v>217</v>
      </c>
      <c r="F882" t="s">
        <v>217</v>
      </c>
      <c r="G882" t="s">
        <v>221</v>
      </c>
    </row>
    <row r="883" spans="1:7" x14ac:dyDescent="0.25">
      <c r="A883">
        <v>882</v>
      </c>
      <c r="B883" t="s">
        <v>216</v>
      </c>
      <c r="C883" t="s">
        <v>217</v>
      </c>
      <c r="D883" t="s">
        <v>216</v>
      </c>
      <c r="E883" t="s">
        <v>221</v>
      </c>
      <c r="F883" t="s">
        <v>219</v>
      </c>
      <c r="G883" t="s">
        <v>216</v>
      </c>
    </row>
    <row r="884" spans="1:7" x14ac:dyDescent="0.25">
      <c r="A884">
        <v>883</v>
      </c>
      <c r="B884" t="s">
        <v>217</v>
      </c>
      <c r="C884" t="s">
        <v>217</v>
      </c>
      <c r="D884" t="s">
        <v>217</v>
      </c>
      <c r="E884" t="s">
        <v>221</v>
      </c>
      <c r="F884" t="s">
        <v>221</v>
      </c>
      <c r="G884" t="s">
        <v>221</v>
      </c>
    </row>
    <row r="885" spans="1:7" x14ac:dyDescent="0.25">
      <c r="A885">
        <v>884</v>
      </c>
      <c r="B885" t="s">
        <v>219</v>
      </c>
      <c r="C885" t="s">
        <v>216</v>
      </c>
      <c r="D885" t="s">
        <v>221</v>
      </c>
      <c r="E885" t="s">
        <v>221</v>
      </c>
      <c r="F885" t="s">
        <v>216</v>
      </c>
      <c r="G885" t="s">
        <v>221</v>
      </c>
    </row>
    <row r="886" spans="1:7" x14ac:dyDescent="0.25">
      <c r="A886">
        <v>885</v>
      </c>
      <c r="B886" t="s">
        <v>218</v>
      </c>
      <c r="C886" t="s">
        <v>216</v>
      </c>
      <c r="D886" t="s">
        <v>217</v>
      </c>
      <c r="E886" t="s">
        <v>216</v>
      </c>
      <c r="F886" t="s">
        <v>221</v>
      </c>
      <c r="G886" t="s">
        <v>221</v>
      </c>
    </row>
    <row r="887" spans="1:7" x14ac:dyDescent="0.25">
      <c r="A887">
        <v>886</v>
      </c>
      <c r="B887" t="s">
        <v>219</v>
      </c>
      <c r="C887" t="s">
        <v>216</v>
      </c>
      <c r="D887" t="s">
        <v>217</v>
      </c>
      <c r="E887" t="s">
        <v>221</v>
      </c>
      <c r="F887" t="s">
        <v>216</v>
      </c>
      <c r="G887" t="s">
        <v>221</v>
      </c>
    </row>
    <row r="888" spans="1:7" x14ac:dyDescent="0.25">
      <c r="A888">
        <v>887</v>
      </c>
      <c r="B888" t="s">
        <v>219</v>
      </c>
      <c r="C888" t="s">
        <v>219</v>
      </c>
      <c r="D888" t="s">
        <v>219</v>
      </c>
      <c r="E888" t="s">
        <v>221</v>
      </c>
      <c r="F888" t="s">
        <v>219</v>
      </c>
      <c r="G888" t="s">
        <v>221</v>
      </c>
    </row>
    <row r="889" spans="1:7" x14ac:dyDescent="0.25">
      <c r="A889">
        <v>888</v>
      </c>
      <c r="B889" t="s">
        <v>216</v>
      </c>
      <c r="C889" t="s">
        <v>217</v>
      </c>
      <c r="D889" t="s">
        <v>218</v>
      </c>
      <c r="E889" t="s">
        <v>216</v>
      </c>
      <c r="F889" t="s">
        <v>217</v>
      </c>
      <c r="G889" t="s">
        <v>221</v>
      </c>
    </row>
    <row r="890" spans="1:7" x14ac:dyDescent="0.25">
      <c r="A890">
        <v>889</v>
      </c>
      <c r="B890" t="s">
        <v>216</v>
      </c>
      <c r="C890" t="s">
        <v>220</v>
      </c>
      <c r="D890" t="s">
        <v>221</v>
      </c>
      <c r="E890" t="s">
        <v>220</v>
      </c>
      <c r="F890" t="s">
        <v>221</v>
      </c>
      <c r="G890" t="s">
        <v>219</v>
      </c>
    </row>
    <row r="891" spans="1:7" x14ac:dyDescent="0.25">
      <c r="A891">
        <v>890</v>
      </c>
      <c r="B891" t="s">
        <v>217</v>
      </c>
      <c r="C891" t="s">
        <v>216</v>
      </c>
      <c r="D891" t="s">
        <v>216</v>
      </c>
      <c r="E891" t="s">
        <v>218</v>
      </c>
      <c r="F891" t="s">
        <v>218</v>
      </c>
      <c r="G891" t="s">
        <v>219</v>
      </c>
    </row>
    <row r="892" spans="1:7" x14ac:dyDescent="0.25">
      <c r="A892">
        <v>891</v>
      </c>
      <c r="B892" t="s">
        <v>216</v>
      </c>
      <c r="C892" t="s">
        <v>221</v>
      </c>
      <c r="D892" t="s">
        <v>216</v>
      </c>
      <c r="E892" t="s">
        <v>221</v>
      </c>
      <c r="F892" t="s">
        <v>221</v>
      </c>
      <c r="G892" t="s">
        <v>221</v>
      </c>
    </row>
    <row r="893" spans="1:7" x14ac:dyDescent="0.25">
      <c r="A893">
        <v>892</v>
      </c>
      <c r="B893" t="s">
        <v>217</v>
      </c>
      <c r="C893" t="s">
        <v>217</v>
      </c>
      <c r="D893" t="s">
        <v>218</v>
      </c>
      <c r="E893" t="s">
        <v>216</v>
      </c>
      <c r="F893" t="s">
        <v>217</v>
      </c>
      <c r="G893" t="s">
        <v>221</v>
      </c>
    </row>
    <row r="894" spans="1:7" x14ac:dyDescent="0.25">
      <c r="A894">
        <v>893</v>
      </c>
      <c r="B894" t="s">
        <v>219</v>
      </c>
      <c r="C894" t="s">
        <v>216</v>
      </c>
      <c r="D894" t="s">
        <v>218</v>
      </c>
      <c r="E894" t="s">
        <v>221</v>
      </c>
      <c r="F894" t="s">
        <v>217</v>
      </c>
      <c r="G894" t="s">
        <v>221</v>
      </c>
    </row>
    <row r="895" spans="1:7" x14ac:dyDescent="0.25">
      <c r="A895">
        <v>894</v>
      </c>
      <c r="B895" t="s">
        <v>216</v>
      </c>
      <c r="C895" t="s">
        <v>216</v>
      </c>
      <c r="D895" t="s">
        <v>221</v>
      </c>
      <c r="E895" t="s">
        <v>221</v>
      </c>
      <c r="F895" t="s">
        <v>221</v>
      </c>
      <c r="G895" t="s">
        <v>221</v>
      </c>
    </row>
    <row r="896" spans="1:7" x14ac:dyDescent="0.25">
      <c r="A896">
        <v>895</v>
      </c>
      <c r="B896" t="s">
        <v>216</v>
      </c>
      <c r="C896" t="s">
        <v>218</v>
      </c>
      <c r="D896" t="s">
        <v>217</v>
      </c>
      <c r="E896" t="s">
        <v>221</v>
      </c>
      <c r="F896" t="s">
        <v>221</v>
      </c>
      <c r="G896" t="s">
        <v>218</v>
      </c>
    </row>
    <row r="897" spans="1:7" x14ac:dyDescent="0.25">
      <c r="A897">
        <v>896</v>
      </c>
      <c r="B897" t="s">
        <v>217</v>
      </c>
      <c r="C897" t="s">
        <v>218</v>
      </c>
      <c r="D897" t="s">
        <v>218</v>
      </c>
      <c r="E897" t="s">
        <v>217</v>
      </c>
      <c r="F897" t="s">
        <v>221</v>
      </c>
      <c r="G897" t="s">
        <v>216</v>
      </c>
    </row>
    <row r="898" spans="1:7" x14ac:dyDescent="0.25">
      <c r="A898">
        <v>897</v>
      </c>
      <c r="B898" t="s">
        <v>217</v>
      </c>
      <c r="C898" t="s">
        <v>221</v>
      </c>
      <c r="D898" t="s">
        <v>218</v>
      </c>
      <c r="E898" t="s">
        <v>221</v>
      </c>
      <c r="F898" t="s">
        <v>218</v>
      </c>
      <c r="G898" t="s">
        <v>221</v>
      </c>
    </row>
    <row r="899" spans="1:7" x14ac:dyDescent="0.25">
      <c r="A899">
        <v>898</v>
      </c>
      <c r="B899" t="s">
        <v>216</v>
      </c>
      <c r="C899" t="s">
        <v>216</v>
      </c>
      <c r="D899" t="s">
        <v>218</v>
      </c>
      <c r="E899" t="s">
        <v>220</v>
      </c>
      <c r="F899" t="s">
        <v>221</v>
      </c>
      <c r="G899" t="s">
        <v>221</v>
      </c>
    </row>
    <row r="900" spans="1:7" x14ac:dyDescent="0.25">
      <c r="A900">
        <v>899</v>
      </c>
      <c r="B900" t="s">
        <v>219</v>
      </c>
      <c r="C900" t="s">
        <v>220</v>
      </c>
      <c r="D900" t="s">
        <v>216</v>
      </c>
      <c r="E900" t="s">
        <v>221</v>
      </c>
      <c r="F900" t="s">
        <v>217</v>
      </c>
      <c r="G900" t="s">
        <v>217</v>
      </c>
    </row>
    <row r="901" spans="1:7" x14ac:dyDescent="0.25">
      <c r="A901">
        <v>900</v>
      </c>
      <c r="B901" t="s">
        <v>217</v>
      </c>
      <c r="C901" t="s">
        <v>219</v>
      </c>
      <c r="D901" t="s">
        <v>216</v>
      </c>
      <c r="E901" t="s">
        <v>221</v>
      </c>
      <c r="F901" t="s">
        <v>216</v>
      </c>
      <c r="G901" t="s">
        <v>217</v>
      </c>
    </row>
    <row r="902" spans="1:7" x14ac:dyDescent="0.25">
      <c r="A902">
        <v>901</v>
      </c>
      <c r="B902" t="s">
        <v>216</v>
      </c>
      <c r="C902" t="s">
        <v>217</v>
      </c>
      <c r="D902" t="s">
        <v>217</v>
      </c>
      <c r="E902" t="s">
        <v>216</v>
      </c>
      <c r="F902" t="s">
        <v>221</v>
      </c>
      <c r="G902" t="s">
        <v>221</v>
      </c>
    </row>
    <row r="903" spans="1:7" x14ac:dyDescent="0.25">
      <c r="A903">
        <v>902</v>
      </c>
      <c r="B903" t="s">
        <v>216</v>
      </c>
      <c r="C903" t="s">
        <v>217</v>
      </c>
      <c r="D903" t="s">
        <v>218</v>
      </c>
      <c r="E903" t="s">
        <v>220</v>
      </c>
      <c r="F903" t="s">
        <v>221</v>
      </c>
      <c r="G903" t="s">
        <v>221</v>
      </c>
    </row>
    <row r="904" spans="1:7" x14ac:dyDescent="0.25">
      <c r="A904">
        <v>903</v>
      </c>
      <c r="B904" t="s">
        <v>216</v>
      </c>
      <c r="C904" t="s">
        <v>217</v>
      </c>
      <c r="D904" t="s">
        <v>216</v>
      </c>
      <c r="E904" t="s">
        <v>216</v>
      </c>
      <c r="F904" t="s">
        <v>216</v>
      </c>
      <c r="G904" t="s">
        <v>221</v>
      </c>
    </row>
    <row r="905" spans="1:7" x14ac:dyDescent="0.25">
      <c r="A905">
        <v>904</v>
      </c>
      <c r="B905" t="s">
        <v>216</v>
      </c>
      <c r="C905" t="s">
        <v>218</v>
      </c>
      <c r="D905" t="s">
        <v>216</v>
      </c>
      <c r="E905" t="s">
        <v>217</v>
      </c>
      <c r="F905" t="s">
        <v>221</v>
      </c>
      <c r="G905" t="s">
        <v>221</v>
      </c>
    </row>
    <row r="906" spans="1:7" x14ac:dyDescent="0.25">
      <c r="A906">
        <v>905</v>
      </c>
      <c r="B906" t="s">
        <v>217</v>
      </c>
      <c r="C906" t="s">
        <v>219</v>
      </c>
      <c r="D906" t="s">
        <v>217</v>
      </c>
      <c r="E906" t="s">
        <v>221</v>
      </c>
      <c r="F906" t="s">
        <v>217</v>
      </c>
      <c r="G906" t="s">
        <v>216</v>
      </c>
    </row>
    <row r="907" spans="1:7" x14ac:dyDescent="0.25">
      <c r="A907">
        <v>906</v>
      </c>
      <c r="B907" t="s">
        <v>217</v>
      </c>
      <c r="C907" t="s">
        <v>219</v>
      </c>
      <c r="D907" t="s">
        <v>216</v>
      </c>
      <c r="E907" t="s">
        <v>218</v>
      </c>
      <c r="F907" t="s">
        <v>221</v>
      </c>
      <c r="G907" t="s">
        <v>219</v>
      </c>
    </row>
    <row r="908" spans="1:7" x14ac:dyDescent="0.25">
      <c r="A908">
        <v>907</v>
      </c>
      <c r="B908" t="s">
        <v>216</v>
      </c>
      <c r="C908" t="s">
        <v>216</v>
      </c>
      <c r="D908" t="s">
        <v>217</v>
      </c>
      <c r="E908" t="s">
        <v>216</v>
      </c>
      <c r="F908" t="s">
        <v>216</v>
      </c>
      <c r="G908" t="s">
        <v>219</v>
      </c>
    </row>
    <row r="909" spans="1:7" x14ac:dyDescent="0.25">
      <c r="A909">
        <v>908</v>
      </c>
      <c r="B909" t="s">
        <v>218</v>
      </c>
      <c r="C909" t="s">
        <v>217</v>
      </c>
      <c r="D909" t="s">
        <v>221</v>
      </c>
      <c r="E909" t="s">
        <v>221</v>
      </c>
      <c r="F909" t="s">
        <v>220</v>
      </c>
      <c r="G909" t="s">
        <v>219</v>
      </c>
    </row>
    <row r="910" spans="1:7" x14ac:dyDescent="0.25">
      <c r="A910">
        <v>909</v>
      </c>
      <c r="B910" t="s">
        <v>216</v>
      </c>
      <c r="C910" t="s">
        <v>218</v>
      </c>
      <c r="D910" t="s">
        <v>216</v>
      </c>
      <c r="E910" t="s">
        <v>218</v>
      </c>
      <c r="F910" t="s">
        <v>216</v>
      </c>
      <c r="G910" t="s">
        <v>219</v>
      </c>
    </row>
    <row r="911" spans="1:7" x14ac:dyDescent="0.25">
      <c r="A911">
        <v>910</v>
      </c>
      <c r="B911" t="s">
        <v>217</v>
      </c>
      <c r="C911" t="s">
        <v>218</v>
      </c>
      <c r="D911" t="s">
        <v>221</v>
      </c>
      <c r="E911" t="s">
        <v>216</v>
      </c>
      <c r="F911" t="s">
        <v>221</v>
      </c>
      <c r="G911" t="s">
        <v>217</v>
      </c>
    </row>
    <row r="912" spans="1:7" x14ac:dyDescent="0.25">
      <c r="A912">
        <v>911</v>
      </c>
      <c r="B912" t="s">
        <v>216</v>
      </c>
      <c r="C912" t="s">
        <v>216</v>
      </c>
      <c r="D912" t="s">
        <v>219</v>
      </c>
      <c r="E912" t="s">
        <v>221</v>
      </c>
      <c r="F912" t="s">
        <v>220</v>
      </c>
      <c r="G912" t="s">
        <v>221</v>
      </c>
    </row>
    <row r="913" spans="1:7" x14ac:dyDescent="0.25">
      <c r="A913">
        <v>912</v>
      </c>
      <c r="B913" t="s">
        <v>216</v>
      </c>
      <c r="C913" t="s">
        <v>218</v>
      </c>
      <c r="D913" t="s">
        <v>221</v>
      </c>
      <c r="E913" t="s">
        <v>216</v>
      </c>
      <c r="F913" t="s">
        <v>221</v>
      </c>
      <c r="G913" t="s">
        <v>221</v>
      </c>
    </row>
    <row r="914" spans="1:7" x14ac:dyDescent="0.25">
      <c r="A914">
        <v>913</v>
      </c>
      <c r="B914" t="s">
        <v>218</v>
      </c>
      <c r="C914" t="s">
        <v>217</v>
      </c>
      <c r="D914" t="s">
        <v>216</v>
      </c>
      <c r="E914" t="s">
        <v>221</v>
      </c>
      <c r="F914" t="s">
        <v>221</v>
      </c>
      <c r="G914" t="s">
        <v>221</v>
      </c>
    </row>
    <row r="915" spans="1:7" x14ac:dyDescent="0.25">
      <c r="A915">
        <v>914</v>
      </c>
      <c r="B915" t="s">
        <v>218</v>
      </c>
      <c r="C915" t="s">
        <v>216</v>
      </c>
      <c r="D915" t="s">
        <v>221</v>
      </c>
      <c r="E915" t="s">
        <v>221</v>
      </c>
      <c r="F915" t="s">
        <v>219</v>
      </c>
      <c r="G915" t="s">
        <v>221</v>
      </c>
    </row>
    <row r="916" spans="1:7" x14ac:dyDescent="0.25">
      <c r="A916">
        <v>915</v>
      </c>
      <c r="B916" t="s">
        <v>218</v>
      </c>
      <c r="C916" t="s">
        <v>219</v>
      </c>
      <c r="D916" t="s">
        <v>219</v>
      </c>
      <c r="E916" t="s">
        <v>221</v>
      </c>
      <c r="F916" t="s">
        <v>221</v>
      </c>
      <c r="G916" t="s">
        <v>216</v>
      </c>
    </row>
    <row r="917" spans="1:7" x14ac:dyDescent="0.25">
      <c r="A917">
        <v>916</v>
      </c>
      <c r="B917" t="s">
        <v>217</v>
      </c>
      <c r="C917" t="s">
        <v>220</v>
      </c>
      <c r="D917" t="s">
        <v>221</v>
      </c>
      <c r="E917" t="s">
        <v>217</v>
      </c>
      <c r="F917" t="s">
        <v>216</v>
      </c>
      <c r="G917" t="s">
        <v>221</v>
      </c>
    </row>
    <row r="918" spans="1:7" x14ac:dyDescent="0.25">
      <c r="A918">
        <v>917</v>
      </c>
      <c r="B918" t="s">
        <v>216</v>
      </c>
      <c r="C918" t="s">
        <v>216</v>
      </c>
      <c r="D918" t="s">
        <v>216</v>
      </c>
      <c r="E918" t="s">
        <v>221</v>
      </c>
      <c r="F918" t="s">
        <v>221</v>
      </c>
      <c r="G918" t="s">
        <v>216</v>
      </c>
    </row>
    <row r="919" spans="1:7" x14ac:dyDescent="0.25">
      <c r="A919">
        <v>918</v>
      </c>
      <c r="B919" t="s">
        <v>216</v>
      </c>
      <c r="C919" t="s">
        <v>216</v>
      </c>
      <c r="D919" t="s">
        <v>217</v>
      </c>
      <c r="E919" t="s">
        <v>218</v>
      </c>
      <c r="F919" t="s">
        <v>221</v>
      </c>
      <c r="G919" t="s">
        <v>217</v>
      </c>
    </row>
    <row r="920" spans="1:7" x14ac:dyDescent="0.25">
      <c r="A920">
        <v>919</v>
      </c>
      <c r="B920" t="s">
        <v>217</v>
      </c>
      <c r="C920" t="s">
        <v>219</v>
      </c>
      <c r="D920" t="s">
        <v>221</v>
      </c>
      <c r="E920" t="s">
        <v>216</v>
      </c>
      <c r="F920" t="s">
        <v>216</v>
      </c>
      <c r="G920" t="s">
        <v>220</v>
      </c>
    </row>
    <row r="921" spans="1:7" x14ac:dyDescent="0.25">
      <c r="A921">
        <v>920</v>
      </c>
      <c r="B921" t="s">
        <v>217</v>
      </c>
      <c r="C921" t="s">
        <v>216</v>
      </c>
      <c r="D921" t="s">
        <v>217</v>
      </c>
      <c r="E921" t="s">
        <v>221</v>
      </c>
      <c r="F921" t="s">
        <v>219</v>
      </c>
      <c r="G921" t="s">
        <v>221</v>
      </c>
    </row>
    <row r="922" spans="1:7" x14ac:dyDescent="0.25">
      <c r="A922">
        <v>921</v>
      </c>
      <c r="B922" t="s">
        <v>220</v>
      </c>
      <c r="C922" t="s">
        <v>219</v>
      </c>
      <c r="D922" t="s">
        <v>221</v>
      </c>
      <c r="E922" t="s">
        <v>221</v>
      </c>
      <c r="F922" t="s">
        <v>221</v>
      </c>
      <c r="G922" t="s">
        <v>221</v>
      </c>
    </row>
    <row r="923" spans="1:7" x14ac:dyDescent="0.25">
      <c r="A923">
        <v>922</v>
      </c>
      <c r="B923" t="s">
        <v>218</v>
      </c>
      <c r="C923" t="s">
        <v>219</v>
      </c>
      <c r="D923" t="s">
        <v>217</v>
      </c>
      <c r="E923" t="s">
        <v>216</v>
      </c>
      <c r="F923" t="s">
        <v>216</v>
      </c>
      <c r="G923" t="s">
        <v>221</v>
      </c>
    </row>
    <row r="924" spans="1:7" x14ac:dyDescent="0.25">
      <c r="A924">
        <v>923</v>
      </c>
      <c r="B924" t="s">
        <v>217</v>
      </c>
      <c r="C924" t="s">
        <v>221</v>
      </c>
      <c r="D924" t="s">
        <v>217</v>
      </c>
      <c r="E924" t="s">
        <v>219</v>
      </c>
      <c r="F924" t="s">
        <v>217</v>
      </c>
      <c r="G924" t="s">
        <v>218</v>
      </c>
    </row>
    <row r="925" spans="1:7" x14ac:dyDescent="0.25">
      <c r="A925">
        <v>924</v>
      </c>
      <c r="B925" t="s">
        <v>219</v>
      </c>
      <c r="C925" t="s">
        <v>220</v>
      </c>
      <c r="D925" t="s">
        <v>216</v>
      </c>
      <c r="E925" t="s">
        <v>220</v>
      </c>
      <c r="F925" t="s">
        <v>221</v>
      </c>
      <c r="G925" t="s">
        <v>221</v>
      </c>
    </row>
    <row r="926" spans="1:7" x14ac:dyDescent="0.25">
      <c r="A926">
        <v>925</v>
      </c>
      <c r="B926" t="s">
        <v>216</v>
      </c>
      <c r="C926" t="s">
        <v>220</v>
      </c>
      <c r="D926" t="s">
        <v>216</v>
      </c>
      <c r="E926" t="s">
        <v>216</v>
      </c>
      <c r="F926" t="s">
        <v>221</v>
      </c>
      <c r="G926" t="s">
        <v>221</v>
      </c>
    </row>
    <row r="927" spans="1:7" x14ac:dyDescent="0.25">
      <c r="A927">
        <v>926</v>
      </c>
      <c r="B927" t="s">
        <v>217</v>
      </c>
      <c r="C927" t="s">
        <v>221</v>
      </c>
      <c r="D927" t="s">
        <v>218</v>
      </c>
      <c r="E927" t="s">
        <v>221</v>
      </c>
      <c r="F927" t="s">
        <v>221</v>
      </c>
      <c r="G927" t="s">
        <v>216</v>
      </c>
    </row>
    <row r="928" spans="1:7" x14ac:dyDescent="0.25">
      <c r="A928">
        <v>927</v>
      </c>
      <c r="B928" t="s">
        <v>217</v>
      </c>
      <c r="C928" t="s">
        <v>219</v>
      </c>
      <c r="D928" t="s">
        <v>216</v>
      </c>
      <c r="E928" t="s">
        <v>220</v>
      </c>
      <c r="F928" t="s">
        <v>217</v>
      </c>
      <c r="G928" t="s">
        <v>221</v>
      </c>
    </row>
    <row r="929" spans="1:7" x14ac:dyDescent="0.25">
      <c r="A929">
        <v>928</v>
      </c>
      <c r="B929" t="s">
        <v>216</v>
      </c>
      <c r="C929" t="s">
        <v>220</v>
      </c>
      <c r="D929" t="s">
        <v>218</v>
      </c>
      <c r="E929" t="s">
        <v>218</v>
      </c>
      <c r="F929" t="s">
        <v>221</v>
      </c>
      <c r="G929" t="s">
        <v>221</v>
      </c>
    </row>
    <row r="930" spans="1:7" x14ac:dyDescent="0.25">
      <c r="A930">
        <v>929</v>
      </c>
      <c r="B930" t="s">
        <v>217</v>
      </c>
      <c r="C930" t="s">
        <v>216</v>
      </c>
      <c r="D930" t="s">
        <v>221</v>
      </c>
      <c r="E930" t="s">
        <v>218</v>
      </c>
      <c r="F930" t="s">
        <v>218</v>
      </c>
      <c r="G930" t="s">
        <v>221</v>
      </c>
    </row>
    <row r="931" spans="1:7" x14ac:dyDescent="0.25">
      <c r="A931">
        <v>930</v>
      </c>
      <c r="B931" t="s">
        <v>217</v>
      </c>
      <c r="C931" t="s">
        <v>217</v>
      </c>
      <c r="D931" t="s">
        <v>216</v>
      </c>
      <c r="E931" t="s">
        <v>219</v>
      </c>
      <c r="F931" t="s">
        <v>217</v>
      </c>
      <c r="G931" t="s">
        <v>221</v>
      </c>
    </row>
    <row r="932" spans="1:7" x14ac:dyDescent="0.25">
      <c r="A932">
        <v>931</v>
      </c>
      <c r="B932" t="s">
        <v>218</v>
      </c>
      <c r="C932" t="s">
        <v>217</v>
      </c>
      <c r="D932" t="s">
        <v>218</v>
      </c>
      <c r="E932" t="s">
        <v>221</v>
      </c>
      <c r="F932" t="s">
        <v>221</v>
      </c>
      <c r="G932" t="s">
        <v>216</v>
      </c>
    </row>
    <row r="933" spans="1:7" x14ac:dyDescent="0.25">
      <c r="A933">
        <v>932</v>
      </c>
      <c r="B933" t="s">
        <v>216</v>
      </c>
      <c r="C933" t="s">
        <v>217</v>
      </c>
      <c r="D933" t="s">
        <v>216</v>
      </c>
      <c r="E933" t="s">
        <v>219</v>
      </c>
      <c r="F933" t="s">
        <v>218</v>
      </c>
      <c r="G933" t="s">
        <v>221</v>
      </c>
    </row>
    <row r="934" spans="1:7" x14ac:dyDescent="0.25">
      <c r="A934">
        <v>933</v>
      </c>
      <c r="B934" t="s">
        <v>216</v>
      </c>
      <c r="C934" t="s">
        <v>216</v>
      </c>
      <c r="D934" t="s">
        <v>217</v>
      </c>
      <c r="E934" t="s">
        <v>216</v>
      </c>
      <c r="F934" t="s">
        <v>221</v>
      </c>
      <c r="G934" t="s">
        <v>221</v>
      </c>
    </row>
    <row r="935" spans="1:7" x14ac:dyDescent="0.25">
      <c r="A935">
        <v>934</v>
      </c>
      <c r="B935" t="s">
        <v>219</v>
      </c>
      <c r="C935" t="s">
        <v>218</v>
      </c>
      <c r="D935" t="s">
        <v>219</v>
      </c>
      <c r="E935" t="s">
        <v>216</v>
      </c>
      <c r="F935" t="s">
        <v>218</v>
      </c>
      <c r="G935" t="s">
        <v>221</v>
      </c>
    </row>
    <row r="936" spans="1:7" x14ac:dyDescent="0.25">
      <c r="A936">
        <v>935</v>
      </c>
      <c r="B936" t="s">
        <v>216</v>
      </c>
      <c r="C936" t="s">
        <v>216</v>
      </c>
      <c r="D936" t="s">
        <v>216</v>
      </c>
      <c r="E936" t="s">
        <v>217</v>
      </c>
      <c r="F936" t="s">
        <v>221</v>
      </c>
      <c r="G936" t="s">
        <v>216</v>
      </c>
    </row>
    <row r="937" spans="1:7" x14ac:dyDescent="0.25">
      <c r="A937">
        <v>936</v>
      </c>
      <c r="B937" t="s">
        <v>217</v>
      </c>
      <c r="C937" t="s">
        <v>220</v>
      </c>
      <c r="D937" t="s">
        <v>216</v>
      </c>
      <c r="E937" t="s">
        <v>218</v>
      </c>
      <c r="F937" t="s">
        <v>221</v>
      </c>
      <c r="G937" t="s">
        <v>216</v>
      </c>
    </row>
    <row r="938" spans="1:7" x14ac:dyDescent="0.25">
      <c r="A938">
        <v>937</v>
      </c>
      <c r="B938" t="s">
        <v>216</v>
      </c>
      <c r="C938" t="s">
        <v>216</v>
      </c>
      <c r="D938" t="s">
        <v>218</v>
      </c>
      <c r="E938" t="s">
        <v>221</v>
      </c>
      <c r="F938" t="s">
        <v>221</v>
      </c>
      <c r="G938" t="s">
        <v>221</v>
      </c>
    </row>
    <row r="939" spans="1:7" x14ac:dyDescent="0.25">
      <c r="A939">
        <v>938</v>
      </c>
      <c r="B939" t="s">
        <v>216</v>
      </c>
      <c r="C939" t="s">
        <v>219</v>
      </c>
      <c r="D939" t="s">
        <v>221</v>
      </c>
      <c r="E939" t="s">
        <v>216</v>
      </c>
      <c r="F939" t="s">
        <v>216</v>
      </c>
      <c r="G939" t="s">
        <v>216</v>
      </c>
    </row>
    <row r="940" spans="1:7" x14ac:dyDescent="0.25">
      <c r="A940">
        <v>939</v>
      </c>
      <c r="B940" t="s">
        <v>217</v>
      </c>
      <c r="C940" t="s">
        <v>218</v>
      </c>
      <c r="D940" t="s">
        <v>220</v>
      </c>
      <c r="E940" t="s">
        <v>216</v>
      </c>
      <c r="F940" t="s">
        <v>221</v>
      </c>
      <c r="G940" t="s">
        <v>221</v>
      </c>
    </row>
    <row r="941" spans="1:7" x14ac:dyDescent="0.25">
      <c r="A941">
        <v>940</v>
      </c>
      <c r="B941" t="s">
        <v>216</v>
      </c>
      <c r="C941" t="s">
        <v>218</v>
      </c>
      <c r="D941" t="s">
        <v>218</v>
      </c>
      <c r="E941" t="s">
        <v>221</v>
      </c>
      <c r="F941" t="s">
        <v>221</v>
      </c>
      <c r="G941" t="s">
        <v>221</v>
      </c>
    </row>
    <row r="942" spans="1:7" x14ac:dyDescent="0.25">
      <c r="A942">
        <v>941</v>
      </c>
      <c r="B942" t="s">
        <v>219</v>
      </c>
      <c r="C942" t="s">
        <v>221</v>
      </c>
      <c r="D942" t="s">
        <v>216</v>
      </c>
      <c r="E942" t="s">
        <v>216</v>
      </c>
      <c r="F942" t="s">
        <v>218</v>
      </c>
      <c r="G942" t="s">
        <v>216</v>
      </c>
    </row>
    <row r="943" spans="1:7" x14ac:dyDescent="0.25">
      <c r="A943">
        <v>942</v>
      </c>
      <c r="B943" t="s">
        <v>218</v>
      </c>
      <c r="C943" t="s">
        <v>217</v>
      </c>
      <c r="D943" t="s">
        <v>221</v>
      </c>
      <c r="E943" t="s">
        <v>221</v>
      </c>
      <c r="F943" t="s">
        <v>218</v>
      </c>
      <c r="G943" t="s">
        <v>220</v>
      </c>
    </row>
    <row r="944" spans="1:7" x14ac:dyDescent="0.25">
      <c r="A944">
        <v>943</v>
      </c>
      <c r="B944" t="s">
        <v>217</v>
      </c>
      <c r="C944" t="s">
        <v>221</v>
      </c>
      <c r="D944" t="s">
        <v>216</v>
      </c>
      <c r="E944" t="s">
        <v>217</v>
      </c>
      <c r="F944" t="s">
        <v>220</v>
      </c>
      <c r="G944" t="s">
        <v>216</v>
      </c>
    </row>
    <row r="945" spans="1:7" x14ac:dyDescent="0.25">
      <c r="A945">
        <v>944</v>
      </c>
      <c r="B945" t="s">
        <v>218</v>
      </c>
      <c r="C945" t="s">
        <v>217</v>
      </c>
      <c r="D945" t="s">
        <v>218</v>
      </c>
      <c r="E945" t="s">
        <v>216</v>
      </c>
      <c r="F945" t="s">
        <v>221</v>
      </c>
      <c r="G945" t="s">
        <v>219</v>
      </c>
    </row>
    <row r="946" spans="1:7" x14ac:dyDescent="0.25">
      <c r="A946">
        <v>945</v>
      </c>
      <c r="B946" t="s">
        <v>218</v>
      </c>
      <c r="C946" t="s">
        <v>218</v>
      </c>
      <c r="D946" t="s">
        <v>219</v>
      </c>
      <c r="E946" t="s">
        <v>221</v>
      </c>
      <c r="F946" t="s">
        <v>221</v>
      </c>
      <c r="G946" t="s">
        <v>221</v>
      </c>
    </row>
    <row r="947" spans="1:7" x14ac:dyDescent="0.25">
      <c r="A947">
        <v>946</v>
      </c>
      <c r="B947" t="s">
        <v>220</v>
      </c>
      <c r="C947" t="s">
        <v>217</v>
      </c>
      <c r="D947" t="s">
        <v>219</v>
      </c>
      <c r="E947" t="s">
        <v>216</v>
      </c>
      <c r="F947" t="s">
        <v>217</v>
      </c>
      <c r="G947" t="s">
        <v>216</v>
      </c>
    </row>
    <row r="948" spans="1:7" x14ac:dyDescent="0.25">
      <c r="A948">
        <v>947</v>
      </c>
      <c r="B948" t="s">
        <v>217</v>
      </c>
      <c r="C948" t="s">
        <v>219</v>
      </c>
      <c r="D948" t="s">
        <v>216</v>
      </c>
      <c r="E948" t="s">
        <v>216</v>
      </c>
      <c r="F948" t="s">
        <v>221</v>
      </c>
      <c r="G948" t="s">
        <v>221</v>
      </c>
    </row>
    <row r="949" spans="1:7" x14ac:dyDescent="0.25">
      <c r="A949">
        <v>948</v>
      </c>
      <c r="B949" t="s">
        <v>216</v>
      </c>
      <c r="C949" t="s">
        <v>218</v>
      </c>
      <c r="D949" t="s">
        <v>216</v>
      </c>
      <c r="E949" t="s">
        <v>221</v>
      </c>
      <c r="F949" t="s">
        <v>221</v>
      </c>
      <c r="G949" t="s">
        <v>218</v>
      </c>
    </row>
    <row r="950" spans="1:7" x14ac:dyDescent="0.25">
      <c r="A950">
        <v>949</v>
      </c>
      <c r="B950" t="s">
        <v>217</v>
      </c>
      <c r="C950" t="s">
        <v>216</v>
      </c>
      <c r="D950" t="s">
        <v>219</v>
      </c>
      <c r="E950" t="s">
        <v>221</v>
      </c>
      <c r="F950" t="s">
        <v>221</v>
      </c>
      <c r="G950" t="s">
        <v>217</v>
      </c>
    </row>
    <row r="951" spans="1:7" x14ac:dyDescent="0.25">
      <c r="A951">
        <v>950</v>
      </c>
      <c r="B951" t="s">
        <v>219</v>
      </c>
      <c r="C951" t="s">
        <v>219</v>
      </c>
      <c r="D951" t="s">
        <v>218</v>
      </c>
      <c r="E951" t="s">
        <v>218</v>
      </c>
      <c r="F951" t="s">
        <v>216</v>
      </c>
      <c r="G951" t="s">
        <v>217</v>
      </c>
    </row>
    <row r="952" spans="1:7" x14ac:dyDescent="0.25">
      <c r="A952">
        <v>951</v>
      </c>
      <c r="B952" t="s">
        <v>220</v>
      </c>
      <c r="C952" t="s">
        <v>217</v>
      </c>
      <c r="D952" t="s">
        <v>217</v>
      </c>
      <c r="E952" t="s">
        <v>221</v>
      </c>
      <c r="F952" t="s">
        <v>217</v>
      </c>
      <c r="G952" t="s">
        <v>216</v>
      </c>
    </row>
    <row r="953" spans="1:7" x14ac:dyDescent="0.25">
      <c r="A953">
        <v>952</v>
      </c>
      <c r="B953" t="s">
        <v>220</v>
      </c>
      <c r="C953" t="s">
        <v>221</v>
      </c>
      <c r="D953" t="s">
        <v>216</v>
      </c>
      <c r="E953" t="s">
        <v>221</v>
      </c>
      <c r="F953" t="s">
        <v>221</v>
      </c>
      <c r="G953" t="s">
        <v>221</v>
      </c>
    </row>
    <row r="954" spans="1:7" x14ac:dyDescent="0.25">
      <c r="A954">
        <v>953</v>
      </c>
      <c r="B954" t="s">
        <v>216</v>
      </c>
      <c r="C954" t="s">
        <v>216</v>
      </c>
      <c r="D954" t="s">
        <v>217</v>
      </c>
      <c r="E954" t="s">
        <v>216</v>
      </c>
      <c r="F954" t="s">
        <v>216</v>
      </c>
      <c r="G954" t="s">
        <v>217</v>
      </c>
    </row>
    <row r="955" spans="1:7" x14ac:dyDescent="0.25">
      <c r="A955">
        <v>954</v>
      </c>
      <c r="B955" t="s">
        <v>216</v>
      </c>
      <c r="C955" t="s">
        <v>219</v>
      </c>
      <c r="D955" t="s">
        <v>221</v>
      </c>
      <c r="E955" t="s">
        <v>221</v>
      </c>
      <c r="F955" t="s">
        <v>221</v>
      </c>
      <c r="G955" t="s">
        <v>218</v>
      </c>
    </row>
    <row r="956" spans="1:7" x14ac:dyDescent="0.25">
      <c r="A956">
        <v>955</v>
      </c>
      <c r="B956" t="s">
        <v>219</v>
      </c>
      <c r="C956" t="s">
        <v>217</v>
      </c>
      <c r="D956" t="s">
        <v>221</v>
      </c>
      <c r="E956" t="s">
        <v>221</v>
      </c>
      <c r="F956" t="s">
        <v>221</v>
      </c>
      <c r="G956" t="s">
        <v>221</v>
      </c>
    </row>
    <row r="957" spans="1:7" x14ac:dyDescent="0.25">
      <c r="A957">
        <v>956</v>
      </c>
      <c r="B957" t="s">
        <v>218</v>
      </c>
      <c r="C957" t="s">
        <v>217</v>
      </c>
      <c r="D957" t="s">
        <v>218</v>
      </c>
      <c r="E957" t="s">
        <v>216</v>
      </c>
      <c r="F957" t="s">
        <v>221</v>
      </c>
      <c r="G957" t="s">
        <v>216</v>
      </c>
    </row>
    <row r="958" spans="1:7" x14ac:dyDescent="0.25">
      <c r="A958">
        <v>957</v>
      </c>
      <c r="B958" t="s">
        <v>216</v>
      </c>
      <c r="C958" t="s">
        <v>216</v>
      </c>
      <c r="D958" t="s">
        <v>220</v>
      </c>
      <c r="E958" t="s">
        <v>221</v>
      </c>
      <c r="F958" t="s">
        <v>221</v>
      </c>
      <c r="G958" t="s">
        <v>221</v>
      </c>
    </row>
    <row r="959" spans="1:7" x14ac:dyDescent="0.25">
      <c r="A959">
        <v>958</v>
      </c>
      <c r="B959" t="s">
        <v>216</v>
      </c>
      <c r="C959" t="s">
        <v>220</v>
      </c>
      <c r="D959" t="s">
        <v>216</v>
      </c>
      <c r="E959" t="s">
        <v>217</v>
      </c>
      <c r="F959" t="s">
        <v>221</v>
      </c>
      <c r="G959" t="s">
        <v>221</v>
      </c>
    </row>
    <row r="960" spans="1:7" x14ac:dyDescent="0.25">
      <c r="A960">
        <v>959</v>
      </c>
      <c r="B960" t="s">
        <v>220</v>
      </c>
      <c r="C960" t="s">
        <v>216</v>
      </c>
      <c r="D960" t="s">
        <v>220</v>
      </c>
      <c r="E960" t="s">
        <v>218</v>
      </c>
      <c r="F960" t="s">
        <v>217</v>
      </c>
      <c r="G960" t="s">
        <v>218</v>
      </c>
    </row>
    <row r="961" spans="1:7" x14ac:dyDescent="0.25">
      <c r="A961">
        <v>960</v>
      </c>
      <c r="B961" t="s">
        <v>218</v>
      </c>
      <c r="C961" t="s">
        <v>216</v>
      </c>
      <c r="D961" t="s">
        <v>221</v>
      </c>
      <c r="E961" t="s">
        <v>220</v>
      </c>
      <c r="F961" t="s">
        <v>216</v>
      </c>
      <c r="G961" t="s">
        <v>221</v>
      </c>
    </row>
    <row r="962" spans="1:7" x14ac:dyDescent="0.25">
      <c r="A962">
        <v>961</v>
      </c>
      <c r="B962" t="s">
        <v>219</v>
      </c>
      <c r="C962" t="s">
        <v>217</v>
      </c>
      <c r="D962" t="s">
        <v>217</v>
      </c>
      <c r="E962" t="s">
        <v>221</v>
      </c>
      <c r="F962" t="s">
        <v>216</v>
      </c>
      <c r="G962" t="s">
        <v>221</v>
      </c>
    </row>
    <row r="963" spans="1:7" x14ac:dyDescent="0.25">
      <c r="A963">
        <v>962</v>
      </c>
      <c r="B963" t="s">
        <v>217</v>
      </c>
      <c r="C963" t="s">
        <v>217</v>
      </c>
      <c r="D963" t="s">
        <v>220</v>
      </c>
      <c r="E963" t="s">
        <v>221</v>
      </c>
      <c r="F963" t="s">
        <v>221</v>
      </c>
      <c r="G963" t="s">
        <v>221</v>
      </c>
    </row>
    <row r="964" spans="1:7" x14ac:dyDescent="0.25">
      <c r="A964">
        <v>963</v>
      </c>
      <c r="B964" t="s">
        <v>217</v>
      </c>
      <c r="C964" t="s">
        <v>218</v>
      </c>
      <c r="D964" t="s">
        <v>216</v>
      </c>
      <c r="E964" t="s">
        <v>219</v>
      </c>
      <c r="F964" t="s">
        <v>216</v>
      </c>
      <c r="G964" t="s">
        <v>220</v>
      </c>
    </row>
    <row r="965" spans="1:7" x14ac:dyDescent="0.25">
      <c r="A965">
        <v>964</v>
      </c>
      <c r="B965" t="s">
        <v>217</v>
      </c>
      <c r="C965" t="s">
        <v>216</v>
      </c>
      <c r="D965" t="s">
        <v>216</v>
      </c>
      <c r="E965" t="s">
        <v>218</v>
      </c>
      <c r="F965" t="s">
        <v>221</v>
      </c>
      <c r="G965" t="s">
        <v>216</v>
      </c>
    </row>
    <row r="966" spans="1:7" x14ac:dyDescent="0.25">
      <c r="A966">
        <v>965</v>
      </c>
      <c r="B966" t="s">
        <v>216</v>
      </c>
      <c r="C966" t="s">
        <v>216</v>
      </c>
      <c r="D966" t="s">
        <v>216</v>
      </c>
      <c r="E966" t="s">
        <v>218</v>
      </c>
      <c r="F966" t="s">
        <v>218</v>
      </c>
      <c r="G966" t="s">
        <v>217</v>
      </c>
    </row>
    <row r="967" spans="1:7" x14ac:dyDescent="0.25">
      <c r="A967">
        <v>966</v>
      </c>
      <c r="B967" t="s">
        <v>216</v>
      </c>
      <c r="C967" t="s">
        <v>220</v>
      </c>
      <c r="D967" t="s">
        <v>218</v>
      </c>
      <c r="E967" t="s">
        <v>216</v>
      </c>
      <c r="F967" t="s">
        <v>216</v>
      </c>
      <c r="G967" t="s">
        <v>217</v>
      </c>
    </row>
    <row r="968" spans="1:7" x14ac:dyDescent="0.25">
      <c r="A968">
        <v>967</v>
      </c>
      <c r="B968" t="s">
        <v>216</v>
      </c>
      <c r="C968" t="s">
        <v>217</v>
      </c>
      <c r="D968" t="s">
        <v>218</v>
      </c>
      <c r="E968" t="s">
        <v>221</v>
      </c>
      <c r="F968" t="s">
        <v>221</v>
      </c>
      <c r="G968" t="s">
        <v>217</v>
      </c>
    </row>
    <row r="969" spans="1:7" x14ac:dyDescent="0.25">
      <c r="A969">
        <v>968</v>
      </c>
      <c r="B969" t="s">
        <v>219</v>
      </c>
      <c r="C969" t="s">
        <v>216</v>
      </c>
      <c r="D969" t="s">
        <v>221</v>
      </c>
      <c r="E969" t="s">
        <v>221</v>
      </c>
      <c r="F969" t="s">
        <v>221</v>
      </c>
      <c r="G969" t="s">
        <v>217</v>
      </c>
    </row>
    <row r="970" spans="1:7" x14ac:dyDescent="0.25">
      <c r="A970">
        <v>969</v>
      </c>
      <c r="B970" t="s">
        <v>219</v>
      </c>
      <c r="C970" t="s">
        <v>219</v>
      </c>
      <c r="D970" t="s">
        <v>221</v>
      </c>
      <c r="E970" t="s">
        <v>216</v>
      </c>
      <c r="F970" t="s">
        <v>220</v>
      </c>
      <c r="G970" t="s">
        <v>216</v>
      </c>
    </row>
    <row r="971" spans="1:7" x14ac:dyDescent="0.25">
      <c r="A971">
        <v>970</v>
      </c>
      <c r="B971" t="s">
        <v>217</v>
      </c>
      <c r="C971" t="s">
        <v>221</v>
      </c>
      <c r="D971" t="s">
        <v>221</v>
      </c>
      <c r="E971" t="s">
        <v>217</v>
      </c>
      <c r="F971" t="s">
        <v>221</v>
      </c>
      <c r="G971" t="s">
        <v>217</v>
      </c>
    </row>
    <row r="972" spans="1:7" x14ac:dyDescent="0.25">
      <c r="A972">
        <v>971</v>
      </c>
      <c r="B972" t="s">
        <v>216</v>
      </c>
      <c r="C972" t="s">
        <v>216</v>
      </c>
      <c r="D972" t="s">
        <v>216</v>
      </c>
      <c r="E972" t="s">
        <v>221</v>
      </c>
      <c r="F972" t="s">
        <v>221</v>
      </c>
      <c r="G972" t="s">
        <v>216</v>
      </c>
    </row>
    <row r="973" spans="1:7" x14ac:dyDescent="0.25">
      <c r="A973">
        <v>972</v>
      </c>
      <c r="B973" t="s">
        <v>216</v>
      </c>
      <c r="C973" t="s">
        <v>220</v>
      </c>
      <c r="D973" t="s">
        <v>217</v>
      </c>
      <c r="E973" t="s">
        <v>221</v>
      </c>
      <c r="F973" t="s">
        <v>221</v>
      </c>
      <c r="G973" t="s">
        <v>221</v>
      </c>
    </row>
    <row r="974" spans="1:7" x14ac:dyDescent="0.25">
      <c r="A974">
        <v>973</v>
      </c>
      <c r="B974" t="s">
        <v>216</v>
      </c>
      <c r="C974" t="s">
        <v>216</v>
      </c>
      <c r="D974" t="s">
        <v>217</v>
      </c>
      <c r="E974" t="s">
        <v>218</v>
      </c>
      <c r="F974" t="s">
        <v>221</v>
      </c>
      <c r="G974" t="s">
        <v>221</v>
      </c>
    </row>
    <row r="975" spans="1:7" x14ac:dyDescent="0.25">
      <c r="A975">
        <v>974</v>
      </c>
      <c r="B975" t="s">
        <v>216</v>
      </c>
      <c r="C975" t="s">
        <v>216</v>
      </c>
      <c r="D975" t="s">
        <v>216</v>
      </c>
      <c r="E975" t="s">
        <v>217</v>
      </c>
      <c r="F975" t="s">
        <v>220</v>
      </c>
      <c r="G975" t="s">
        <v>217</v>
      </c>
    </row>
    <row r="976" spans="1:7" x14ac:dyDescent="0.25">
      <c r="A976">
        <v>975</v>
      </c>
      <c r="B976" t="s">
        <v>219</v>
      </c>
      <c r="C976" t="s">
        <v>218</v>
      </c>
      <c r="D976" t="s">
        <v>216</v>
      </c>
      <c r="E976" t="s">
        <v>221</v>
      </c>
      <c r="F976" t="s">
        <v>221</v>
      </c>
      <c r="G976" t="s">
        <v>217</v>
      </c>
    </row>
    <row r="977" spans="1:7" x14ac:dyDescent="0.25">
      <c r="A977">
        <v>976</v>
      </c>
      <c r="B977" t="s">
        <v>220</v>
      </c>
      <c r="C977" t="s">
        <v>218</v>
      </c>
      <c r="D977" t="s">
        <v>217</v>
      </c>
      <c r="E977" t="s">
        <v>219</v>
      </c>
      <c r="F977" t="s">
        <v>219</v>
      </c>
      <c r="G977" t="s">
        <v>221</v>
      </c>
    </row>
    <row r="978" spans="1:7" x14ac:dyDescent="0.25">
      <c r="A978">
        <v>977</v>
      </c>
      <c r="B978" t="s">
        <v>219</v>
      </c>
      <c r="C978" t="s">
        <v>217</v>
      </c>
      <c r="D978" t="s">
        <v>219</v>
      </c>
      <c r="E978" t="s">
        <v>221</v>
      </c>
      <c r="F978" t="s">
        <v>221</v>
      </c>
      <c r="G978" t="s">
        <v>221</v>
      </c>
    </row>
    <row r="979" spans="1:7" x14ac:dyDescent="0.25">
      <c r="A979">
        <v>978</v>
      </c>
      <c r="B979" t="s">
        <v>219</v>
      </c>
      <c r="C979" t="s">
        <v>218</v>
      </c>
      <c r="D979" t="s">
        <v>218</v>
      </c>
      <c r="E979" t="s">
        <v>217</v>
      </c>
      <c r="F979" t="s">
        <v>216</v>
      </c>
      <c r="G979" t="s">
        <v>221</v>
      </c>
    </row>
    <row r="980" spans="1:7" x14ac:dyDescent="0.25">
      <c r="A980">
        <v>979</v>
      </c>
      <c r="B980" t="s">
        <v>217</v>
      </c>
      <c r="C980" t="s">
        <v>216</v>
      </c>
      <c r="D980" t="s">
        <v>217</v>
      </c>
      <c r="E980" t="s">
        <v>217</v>
      </c>
      <c r="F980" t="s">
        <v>218</v>
      </c>
      <c r="G980" t="s">
        <v>217</v>
      </c>
    </row>
    <row r="981" spans="1:7" x14ac:dyDescent="0.25">
      <c r="A981">
        <v>980</v>
      </c>
      <c r="B981" t="s">
        <v>217</v>
      </c>
      <c r="C981" t="s">
        <v>217</v>
      </c>
      <c r="D981" t="s">
        <v>221</v>
      </c>
      <c r="E981" t="s">
        <v>218</v>
      </c>
      <c r="F981" t="s">
        <v>219</v>
      </c>
      <c r="G981" t="s">
        <v>221</v>
      </c>
    </row>
    <row r="982" spans="1:7" x14ac:dyDescent="0.25">
      <c r="A982">
        <v>981</v>
      </c>
      <c r="B982" t="s">
        <v>216</v>
      </c>
      <c r="C982" t="s">
        <v>221</v>
      </c>
      <c r="D982" t="s">
        <v>221</v>
      </c>
      <c r="E982" t="s">
        <v>216</v>
      </c>
      <c r="F982" t="s">
        <v>221</v>
      </c>
      <c r="G982" t="s">
        <v>221</v>
      </c>
    </row>
    <row r="983" spans="1:7" x14ac:dyDescent="0.25">
      <c r="A983">
        <v>982</v>
      </c>
      <c r="B983" t="s">
        <v>216</v>
      </c>
      <c r="C983" t="s">
        <v>216</v>
      </c>
      <c r="D983" t="s">
        <v>216</v>
      </c>
      <c r="E983" t="s">
        <v>221</v>
      </c>
      <c r="F983" t="s">
        <v>221</v>
      </c>
      <c r="G983" t="s">
        <v>221</v>
      </c>
    </row>
    <row r="984" spans="1:7" x14ac:dyDescent="0.25">
      <c r="A984">
        <v>983</v>
      </c>
      <c r="B984" t="s">
        <v>218</v>
      </c>
      <c r="C984" t="s">
        <v>220</v>
      </c>
      <c r="D984" t="s">
        <v>219</v>
      </c>
      <c r="E984" t="s">
        <v>221</v>
      </c>
      <c r="F984" t="s">
        <v>216</v>
      </c>
      <c r="G984" t="s">
        <v>218</v>
      </c>
    </row>
    <row r="985" spans="1:7" x14ac:dyDescent="0.25">
      <c r="A985">
        <v>984</v>
      </c>
      <c r="B985" t="s">
        <v>218</v>
      </c>
      <c r="C985" t="s">
        <v>216</v>
      </c>
      <c r="D985" t="s">
        <v>216</v>
      </c>
      <c r="E985" t="s">
        <v>218</v>
      </c>
      <c r="F985" t="s">
        <v>217</v>
      </c>
      <c r="G985" t="s">
        <v>219</v>
      </c>
    </row>
    <row r="986" spans="1:7" x14ac:dyDescent="0.25">
      <c r="A986">
        <v>985</v>
      </c>
      <c r="B986" t="s">
        <v>219</v>
      </c>
      <c r="C986" t="s">
        <v>217</v>
      </c>
      <c r="D986" t="s">
        <v>216</v>
      </c>
      <c r="E986" t="s">
        <v>221</v>
      </c>
      <c r="F986" t="s">
        <v>219</v>
      </c>
      <c r="G986" t="s">
        <v>221</v>
      </c>
    </row>
    <row r="987" spans="1:7" x14ac:dyDescent="0.25">
      <c r="A987">
        <v>986</v>
      </c>
      <c r="B987" t="s">
        <v>216</v>
      </c>
      <c r="C987" t="s">
        <v>216</v>
      </c>
      <c r="D987" t="s">
        <v>221</v>
      </c>
      <c r="E987" t="s">
        <v>216</v>
      </c>
      <c r="F987" t="s">
        <v>221</v>
      </c>
      <c r="G987" t="s">
        <v>216</v>
      </c>
    </row>
    <row r="988" spans="1:7" x14ac:dyDescent="0.25">
      <c r="A988">
        <v>987</v>
      </c>
      <c r="B988" t="s">
        <v>216</v>
      </c>
      <c r="C988" t="s">
        <v>216</v>
      </c>
      <c r="D988" t="s">
        <v>216</v>
      </c>
      <c r="E988" t="s">
        <v>219</v>
      </c>
      <c r="F988" t="s">
        <v>221</v>
      </c>
      <c r="G988" t="s">
        <v>221</v>
      </c>
    </row>
    <row r="989" spans="1:7" x14ac:dyDescent="0.25">
      <c r="A989">
        <v>988</v>
      </c>
      <c r="B989" t="s">
        <v>219</v>
      </c>
      <c r="C989" t="s">
        <v>219</v>
      </c>
      <c r="D989" t="s">
        <v>221</v>
      </c>
      <c r="E989" t="s">
        <v>221</v>
      </c>
      <c r="F989" t="s">
        <v>219</v>
      </c>
      <c r="G989" t="s">
        <v>221</v>
      </c>
    </row>
    <row r="990" spans="1:7" x14ac:dyDescent="0.25">
      <c r="A990">
        <v>989</v>
      </c>
      <c r="B990" t="s">
        <v>218</v>
      </c>
      <c r="C990" t="s">
        <v>216</v>
      </c>
      <c r="D990" t="s">
        <v>218</v>
      </c>
      <c r="E990" t="s">
        <v>218</v>
      </c>
      <c r="F990" t="s">
        <v>221</v>
      </c>
      <c r="G990" t="s">
        <v>221</v>
      </c>
    </row>
    <row r="991" spans="1:7" x14ac:dyDescent="0.25">
      <c r="A991">
        <v>990</v>
      </c>
      <c r="B991" t="s">
        <v>217</v>
      </c>
      <c r="C991" t="s">
        <v>216</v>
      </c>
      <c r="D991" t="s">
        <v>217</v>
      </c>
      <c r="E991" t="s">
        <v>216</v>
      </c>
      <c r="F991" t="s">
        <v>216</v>
      </c>
      <c r="G991" t="s">
        <v>216</v>
      </c>
    </row>
    <row r="992" spans="1:7" x14ac:dyDescent="0.25">
      <c r="A992">
        <v>991</v>
      </c>
      <c r="B992" t="s">
        <v>220</v>
      </c>
      <c r="C992" t="s">
        <v>217</v>
      </c>
      <c r="D992" t="s">
        <v>217</v>
      </c>
      <c r="E992" t="s">
        <v>221</v>
      </c>
      <c r="F992" t="s">
        <v>218</v>
      </c>
      <c r="G992" t="s">
        <v>218</v>
      </c>
    </row>
    <row r="993" spans="1:7" x14ac:dyDescent="0.25">
      <c r="A993">
        <v>992</v>
      </c>
      <c r="B993" t="s">
        <v>219</v>
      </c>
      <c r="C993" t="s">
        <v>218</v>
      </c>
      <c r="D993" t="s">
        <v>216</v>
      </c>
      <c r="E993" t="s">
        <v>219</v>
      </c>
      <c r="F993" t="s">
        <v>218</v>
      </c>
      <c r="G993" t="s">
        <v>221</v>
      </c>
    </row>
    <row r="994" spans="1:7" x14ac:dyDescent="0.25">
      <c r="A994">
        <v>993</v>
      </c>
      <c r="B994" t="s">
        <v>216</v>
      </c>
      <c r="C994" t="s">
        <v>218</v>
      </c>
      <c r="D994" t="s">
        <v>218</v>
      </c>
      <c r="E994" t="s">
        <v>216</v>
      </c>
      <c r="F994" t="s">
        <v>219</v>
      </c>
      <c r="G994" t="s">
        <v>216</v>
      </c>
    </row>
    <row r="995" spans="1:7" x14ac:dyDescent="0.25">
      <c r="A995">
        <v>994</v>
      </c>
      <c r="B995" t="s">
        <v>216</v>
      </c>
      <c r="C995" t="s">
        <v>216</v>
      </c>
      <c r="D995" t="s">
        <v>221</v>
      </c>
      <c r="E995" t="s">
        <v>221</v>
      </c>
      <c r="F995" t="s">
        <v>218</v>
      </c>
      <c r="G995" t="s">
        <v>221</v>
      </c>
    </row>
    <row r="996" spans="1:7" x14ac:dyDescent="0.25">
      <c r="A996">
        <v>995</v>
      </c>
      <c r="B996" t="s">
        <v>216</v>
      </c>
      <c r="C996" t="s">
        <v>217</v>
      </c>
      <c r="D996" t="s">
        <v>221</v>
      </c>
      <c r="E996" t="s">
        <v>217</v>
      </c>
      <c r="F996" t="s">
        <v>221</v>
      </c>
      <c r="G996" t="s">
        <v>218</v>
      </c>
    </row>
    <row r="997" spans="1:7" x14ac:dyDescent="0.25">
      <c r="A997">
        <v>996</v>
      </c>
      <c r="B997" t="s">
        <v>216</v>
      </c>
      <c r="C997" t="s">
        <v>217</v>
      </c>
      <c r="D997" t="s">
        <v>220</v>
      </c>
      <c r="E997" t="s">
        <v>221</v>
      </c>
      <c r="F997" t="s">
        <v>216</v>
      </c>
      <c r="G997" t="s">
        <v>221</v>
      </c>
    </row>
    <row r="998" spans="1:7" x14ac:dyDescent="0.25">
      <c r="A998">
        <v>997</v>
      </c>
      <c r="B998" t="s">
        <v>216</v>
      </c>
      <c r="C998" t="s">
        <v>217</v>
      </c>
      <c r="D998" t="s">
        <v>221</v>
      </c>
      <c r="E998" t="s">
        <v>221</v>
      </c>
      <c r="F998" t="s">
        <v>218</v>
      </c>
      <c r="G998" t="s">
        <v>216</v>
      </c>
    </row>
    <row r="999" spans="1:7" x14ac:dyDescent="0.25">
      <c r="A999">
        <v>998</v>
      </c>
      <c r="B999" t="s">
        <v>218</v>
      </c>
      <c r="C999" t="s">
        <v>216</v>
      </c>
      <c r="D999" t="s">
        <v>216</v>
      </c>
      <c r="E999" t="s">
        <v>216</v>
      </c>
      <c r="F999" t="s">
        <v>218</v>
      </c>
      <c r="G999" t="s">
        <v>216</v>
      </c>
    </row>
    <row r="1000" spans="1:7" x14ac:dyDescent="0.25">
      <c r="A1000">
        <v>999</v>
      </c>
      <c r="B1000" t="s">
        <v>218</v>
      </c>
      <c r="C1000" t="s">
        <v>220</v>
      </c>
      <c r="D1000" t="s">
        <v>221</v>
      </c>
      <c r="E1000" t="s">
        <v>217</v>
      </c>
      <c r="F1000" t="s">
        <v>216</v>
      </c>
      <c r="G1000" t="s">
        <v>221</v>
      </c>
    </row>
    <row r="1001" spans="1:7" x14ac:dyDescent="0.25">
      <c r="A1001">
        <v>1000</v>
      </c>
      <c r="B1001" t="s">
        <v>219</v>
      </c>
      <c r="C1001" t="s">
        <v>217</v>
      </c>
      <c r="D1001" t="s">
        <v>221</v>
      </c>
      <c r="E1001" t="s">
        <v>216</v>
      </c>
      <c r="F1001" t="s">
        <v>216</v>
      </c>
      <c r="G1001" t="s">
        <v>216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C6F0-66D6-4B84-B0DD-AEB4E50C96CD}">
  <sheetPr codeName="Sheet8"/>
  <dimension ref="A1:AA145"/>
  <sheetViews>
    <sheetView workbookViewId="0">
      <selection activeCell="B10" sqref="B10"/>
    </sheetView>
  </sheetViews>
  <sheetFormatPr defaultRowHeight="15" x14ac:dyDescent="0.25"/>
  <cols>
    <col min="1" max="1" width="10.42578125" bestFit="1" customWidth="1"/>
    <col min="2" max="2" width="7.42578125" bestFit="1" customWidth="1"/>
    <col min="3" max="3" width="6" bestFit="1" customWidth="1"/>
    <col min="4" max="4" width="9.7109375" bestFit="1" customWidth="1"/>
    <col min="5" max="5" width="12" bestFit="1" customWidth="1"/>
  </cols>
  <sheetData>
    <row r="1" spans="1:27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  <c r="O1" t="s">
        <v>86</v>
      </c>
      <c r="P1" s="7">
        <v>44562</v>
      </c>
      <c r="Q1" s="7">
        <v>44593</v>
      </c>
      <c r="R1" s="7">
        <v>44621</v>
      </c>
      <c r="S1" s="7">
        <v>44652</v>
      </c>
      <c r="T1" s="7">
        <v>44682</v>
      </c>
      <c r="U1" s="7">
        <v>44713</v>
      </c>
      <c r="V1" s="7">
        <v>44743</v>
      </c>
      <c r="W1" s="7">
        <v>44774</v>
      </c>
      <c r="X1" s="7">
        <v>44805</v>
      </c>
      <c r="Y1" s="7">
        <v>44835</v>
      </c>
      <c r="Z1" s="7">
        <v>44866</v>
      </c>
      <c r="AA1" s="7">
        <v>44896</v>
      </c>
    </row>
    <row r="2" spans="1:27" x14ac:dyDescent="0.25">
      <c r="A2" s="6">
        <v>44592</v>
      </c>
      <c r="B2" t="s">
        <v>48</v>
      </c>
      <c r="C2">
        <v>4536</v>
      </c>
      <c r="D2" t="s">
        <v>29</v>
      </c>
      <c r="E2" t="s">
        <v>59</v>
      </c>
      <c r="O2" t="s">
        <v>48</v>
      </c>
      <c r="P2">
        <v>12341</v>
      </c>
      <c r="Q2">
        <v>12123</v>
      </c>
      <c r="R2">
        <v>15303</v>
      </c>
      <c r="S2">
        <v>10090</v>
      </c>
      <c r="T2">
        <v>11998</v>
      </c>
      <c r="U2">
        <v>6645</v>
      </c>
      <c r="V2">
        <v>8687</v>
      </c>
      <c r="W2">
        <v>11382</v>
      </c>
      <c r="X2">
        <v>12016</v>
      </c>
      <c r="Y2">
        <v>7792</v>
      </c>
      <c r="Z2">
        <v>8679</v>
      </c>
      <c r="AA2">
        <v>13423</v>
      </c>
    </row>
    <row r="3" spans="1:27" x14ac:dyDescent="0.25">
      <c r="A3" s="6">
        <v>44592</v>
      </c>
      <c r="B3" t="s">
        <v>49</v>
      </c>
      <c r="C3">
        <v>9341</v>
      </c>
      <c r="D3" t="s">
        <v>30</v>
      </c>
      <c r="E3" t="s">
        <v>58</v>
      </c>
      <c r="O3" t="s">
        <v>49</v>
      </c>
      <c r="P3">
        <v>47540</v>
      </c>
      <c r="Q3">
        <v>46346</v>
      </c>
      <c r="R3">
        <v>55893</v>
      </c>
      <c r="S3">
        <v>62581</v>
      </c>
      <c r="T3">
        <v>49895</v>
      </c>
      <c r="U3">
        <v>61076</v>
      </c>
      <c r="V3">
        <v>47014</v>
      </c>
      <c r="W3">
        <v>56329</v>
      </c>
      <c r="X3">
        <v>51016</v>
      </c>
      <c r="Y3">
        <v>42345</v>
      </c>
      <c r="Z3">
        <v>53195</v>
      </c>
      <c r="AA3">
        <v>34495</v>
      </c>
    </row>
    <row r="4" spans="1:27" x14ac:dyDescent="0.25">
      <c r="A4" s="6">
        <v>44592</v>
      </c>
      <c r="B4" t="s">
        <v>50</v>
      </c>
      <c r="C4">
        <v>40700</v>
      </c>
      <c r="D4" t="s">
        <v>31</v>
      </c>
      <c r="E4" t="s">
        <v>57</v>
      </c>
      <c r="O4" t="s">
        <v>50</v>
      </c>
      <c r="P4">
        <v>164792</v>
      </c>
      <c r="Q4">
        <v>135359</v>
      </c>
      <c r="R4">
        <v>158135</v>
      </c>
      <c r="S4">
        <v>137076</v>
      </c>
      <c r="T4">
        <v>152518</v>
      </c>
      <c r="U4">
        <v>142911</v>
      </c>
      <c r="V4">
        <v>107117</v>
      </c>
      <c r="W4">
        <v>157443</v>
      </c>
      <c r="X4">
        <v>138863</v>
      </c>
      <c r="Y4">
        <v>133615</v>
      </c>
      <c r="Z4">
        <v>157635</v>
      </c>
      <c r="AA4">
        <v>155262</v>
      </c>
    </row>
    <row r="5" spans="1:27" x14ac:dyDescent="0.25">
      <c r="A5" s="6">
        <v>44592</v>
      </c>
      <c r="B5" t="s">
        <v>48</v>
      </c>
      <c r="C5">
        <v>2191</v>
      </c>
      <c r="D5" t="s">
        <v>29</v>
      </c>
      <c r="E5" t="s">
        <v>59</v>
      </c>
    </row>
    <row r="6" spans="1:27" x14ac:dyDescent="0.25">
      <c r="A6" s="6">
        <v>44592</v>
      </c>
      <c r="B6" t="s">
        <v>49</v>
      </c>
      <c r="C6">
        <v>19870</v>
      </c>
      <c r="D6" t="s">
        <v>30</v>
      </c>
      <c r="E6" t="s">
        <v>58</v>
      </c>
    </row>
    <row r="7" spans="1:27" x14ac:dyDescent="0.25">
      <c r="A7" s="6">
        <v>44592</v>
      </c>
      <c r="B7" t="s">
        <v>50</v>
      </c>
      <c r="C7">
        <v>39137</v>
      </c>
      <c r="D7" t="s">
        <v>31</v>
      </c>
      <c r="E7" t="s">
        <v>57</v>
      </c>
    </row>
    <row r="8" spans="1:27" x14ac:dyDescent="0.25">
      <c r="A8" s="6">
        <v>44592</v>
      </c>
      <c r="B8" t="s">
        <v>48</v>
      </c>
      <c r="C8">
        <v>3631</v>
      </c>
      <c r="D8" t="s">
        <v>29</v>
      </c>
      <c r="E8" t="s">
        <v>59</v>
      </c>
    </row>
    <row r="9" spans="1:27" x14ac:dyDescent="0.25">
      <c r="A9" s="6">
        <v>44592</v>
      </c>
      <c r="B9" t="s">
        <v>49</v>
      </c>
      <c r="C9">
        <v>6792</v>
      </c>
      <c r="D9" t="s">
        <v>30</v>
      </c>
      <c r="E9" t="s">
        <v>58</v>
      </c>
    </row>
    <row r="10" spans="1:27" x14ac:dyDescent="0.25">
      <c r="A10" s="6">
        <v>44592</v>
      </c>
      <c r="B10" t="s">
        <v>50</v>
      </c>
      <c r="C10">
        <v>43328</v>
      </c>
      <c r="D10" t="s">
        <v>31</v>
      </c>
      <c r="E10" t="s">
        <v>57</v>
      </c>
    </row>
    <row r="11" spans="1:27" x14ac:dyDescent="0.25">
      <c r="A11" s="6">
        <v>44592</v>
      </c>
      <c r="B11" t="s">
        <v>48</v>
      </c>
      <c r="C11">
        <v>1983</v>
      </c>
      <c r="D11" t="s">
        <v>29</v>
      </c>
      <c r="E11" t="s">
        <v>59</v>
      </c>
    </row>
    <row r="12" spans="1:27" x14ac:dyDescent="0.25">
      <c r="A12" s="6">
        <v>44592</v>
      </c>
      <c r="B12" t="s">
        <v>49</v>
      </c>
      <c r="C12">
        <v>11537</v>
      </c>
      <c r="D12" t="s">
        <v>30</v>
      </c>
      <c r="E12" t="s">
        <v>58</v>
      </c>
    </row>
    <row r="13" spans="1:27" x14ac:dyDescent="0.25">
      <c r="A13" s="6">
        <v>44592</v>
      </c>
      <c r="B13" t="s">
        <v>50</v>
      </c>
      <c r="C13">
        <v>41627</v>
      </c>
      <c r="D13" t="s">
        <v>31</v>
      </c>
      <c r="E13" t="s">
        <v>57</v>
      </c>
    </row>
    <row r="14" spans="1:27" x14ac:dyDescent="0.25">
      <c r="A14" s="6">
        <v>44620</v>
      </c>
      <c r="B14" t="s">
        <v>48</v>
      </c>
      <c r="C14">
        <v>2369</v>
      </c>
      <c r="D14" t="s">
        <v>29</v>
      </c>
      <c r="E14" t="s">
        <v>59</v>
      </c>
    </row>
    <row r="15" spans="1:27" x14ac:dyDescent="0.25">
      <c r="A15" s="6">
        <v>44620</v>
      </c>
      <c r="B15" t="s">
        <v>49</v>
      </c>
      <c r="C15">
        <v>14206</v>
      </c>
      <c r="D15" t="s">
        <v>30</v>
      </c>
      <c r="E15" t="s">
        <v>58</v>
      </c>
    </row>
    <row r="16" spans="1:27" x14ac:dyDescent="0.25">
      <c r="A16" s="6">
        <v>44620</v>
      </c>
      <c r="B16" t="s">
        <v>50</v>
      </c>
      <c r="C16">
        <v>48364</v>
      </c>
      <c r="D16" t="s">
        <v>31</v>
      </c>
      <c r="E16" t="s">
        <v>57</v>
      </c>
    </row>
    <row r="17" spans="1:5" x14ac:dyDescent="0.25">
      <c r="A17" s="6">
        <v>44620</v>
      </c>
      <c r="B17" t="s">
        <v>48</v>
      </c>
      <c r="C17">
        <v>2566</v>
      </c>
      <c r="D17" t="s">
        <v>29</v>
      </c>
      <c r="E17" t="s">
        <v>59</v>
      </c>
    </row>
    <row r="18" spans="1:5" x14ac:dyDescent="0.25">
      <c r="A18" s="6">
        <v>44620</v>
      </c>
      <c r="B18" t="s">
        <v>49</v>
      </c>
      <c r="C18">
        <v>16712</v>
      </c>
      <c r="D18" t="s">
        <v>30</v>
      </c>
      <c r="E18" t="s">
        <v>58</v>
      </c>
    </row>
    <row r="19" spans="1:5" x14ac:dyDescent="0.25">
      <c r="A19" s="6">
        <v>44620</v>
      </c>
      <c r="B19" t="s">
        <v>50</v>
      </c>
      <c r="C19">
        <v>22735</v>
      </c>
      <c r="D19" t="s">
        <v>31</v>
      </c>
      <c r="E19" t="s">
        <v>57</v>
      </c>
    </row>
    <row r="20" spans="1:5" x14ac:dyDescent="0.25">
      <c r="A20" s="6">
        <v>44620</v>
      </c>
      <c r="B20" t="s">
        <v>48</v>
      </c>
      <c r="C20">
        <v>4737</v>
      </c>
      <c r="D20" t="s">
        <v>29</v>
      </c>
      <c r="E20" t="s">
        <v>59</v>
      </c>
    </row>
    <row r="21" spans="1:5" x14ac:dyDescent="0.25">
      <c r="A21" s="6">
        <v>44620</v>
      </c>
      <c r="B21" t="s">
        <v>49</v>
      </c>
      <c r="C21">
        <v>6749</v>
      </c>
      <c r="D21" t="s">
        <v>30</v>
      </c>
      <c r="E21" t="s">
        <v>58</v>
      </c>
    </row>
    <row r="22" spans="1:5" x14ac:dyDescent="0.25">
      <c r="A22" s="6">
        <v>44620</v>
      </c>
      <c r="B22" t="s">
        <v>50</v>
      </c>
      <c r="C22">
        <v>37126</v>
      </c>
      <c r="D22" t="s">
        <v>31</v>
      </c>
      <c r="E22" t="s">
        <v>57</v>
      </c>
    </row>
    <row r="23" spans="1:5" x14ac:dyDescent="0.25">
      <c r="A23" s="6">
        <v>44620</v>
      </c>
      <c r="B23" t="s">
        <v>48</v>
      </c>
      <c r="C23">
        <v>2451</v>
      </c>
      <c r="D23" t="s">
        <v>29</v>
      </c>
      <c r="E23" t="s">
        <v>59</v>
      </c>
    </row>
    <row r="24" spans="1:5" x14ac:dyDescent="0.25">
      <c r="A24" s="6">
        <v>44620</v>
      </c>
      <c r="B24" t="s">
        <v>49</v>
      </c>
      <c r="C24">
        <v>8679</v>
      </c>
      <c r="D24" t="s">
        <v>30</v>
      </c>
      <c r="E24" t="s">
        <v>58</v>
      </c>
    </row>
    <row r="25" spans="1:5" x14ac:dyDescent="0.25">
      <c r="A25" s="6">
        <v>44620</v>
      </c>
      <c r="B25" t="s">
        <v>50</v>
      </c>
      <c r="C25">
        <v>27134</v>
      </c>
      <c r="D25" t="s">
        <v>31</v>
      </c>
      <c r="E25" t="s">
        <v>57</v>
      </c>
    </row>
    <row r="26" spans="1:5" x14ac:dyDescent="0.25">
      <c r="A26" s="6">
        <v>44651</v>
      </c>
      <c r="B26" t="s">
        <v>48</v>
      </c>
      <c r="C26">
        <v>3895</v>
      </c>
      <c r="D26" t="s">
        <v>29</v>
      </c>
      <c r="E26" t="s">
        <v>59</v>
      </c>
    </row>
    <row r="27" spans="1:5" x14ac:dyDescent="0.25">
      <c r="A27" s="6">
        <v>44651</v>
      </c>
      <c r="B27" t="s">
        <v>49</v>
      </c>
      <c r="C27">
        <v>10925</v>
      </c>
      <c r="D27" t="s">
        <v>30</v>
      </c>
      <c r="E27" t="s">
        <v>58</v>
      </c>
    </row>
    <row r="28" spans="1:5" x14ac:dyDescent="0.25">
      <c r="A28" s="6">
        <v>44651</v>
      </c>
      <c r="B28" t="s">
        <v>50</v>
      </c>
      <c r="C28">
        <v>40258</v>
      </c>
      <c r="D28" t="s">
        <v>31</v>
      </c>
      <c r="E28" t="s">
        <v>57</v>
      </c>
    </row>
    <row r="29" spans="1:5" x14ac:dyDescent="0.25">
      <c r="A29" s="6">
        <v>44651</v>
      </c>
      <c r="B29" t="s">
        <v>48</v>
      </c>
      <c r="C29">
        <v>2995</v>
      </c>
      <c r="D29" t="s">
        <v>29</v>
      </c>
      <c r="E29" t="s">
        <v>59</v>
      </c>
    </row>
    <row r="30" spans="1:5" x14ac:dyDescent="0.25">
      <c r="A30" s="6">
        <v>44651</v>
      </c>
      <c r="B30" t="s">
        <v>49</v>
      </c>
      <c r="C30">
        <v>17856</v>
      </c>
      <c r="D30" t="s">
        <v>30</v>
      </c>
      <c r="E30" t="s">
        <v>58</v>
      </c>
    </row>
    <row r="31" spans="1:5" x14ac:dyDescent="0.25">
      <c r="A31" s="6">
        <v>44651</v>
      </c>
      <c r="B31" t="s">
        <v>50</v>
      </c>
      <c r="C31">
        <v>33858</v>
      </c>
      <c r="D31" t="s">
        <v>31</v>
      </c>
      <c r="E31" t="s">
        <v>57</v>
      </c>
    </row>
    <row r="32" spans="1:5" x14ac:dyDescent="0.25">
      <c r="A32" s="6">
        <v>44651</v>
      </c>
      <c r="B32" t="s">
        <v>48</v>
      </c>
      <c r="C32">
        <v>4685</v>
      </c>
      <c r="D32" t="s">
        <v>29</v>
      </c>
      <c r="E32" t="s">
        <v>59</v>
      </c>
    </row>
    <row r="33" spans="1:5" x14ac:dyDescent="0.25">
      <c r="A33" s="6">
        <v>44651</v>
      </c>
      <c r="B33" t="s">
        <v>49</v>
      </c>
      <c r="C33">
        <v>16633</v>
      </c>
      <c r="D33" t="s">
        <v>30</v>
      </c>
      <c r="E33" t="s">
        <v>58</v>
      </c>
    </row>
    <row r="34" spans="1:5" x14ac:dyDescent="0.25">
      <c r="A34" s="6">
        <v>44651</v>
      </c>
      <c r="B34" t="s">
        <v>50</v>
      </c>
      <c r="C34">
        <v>39794</v>
      </c>
      <c r="D34" t="s">
        <v>31</v>
      </c>
      <c r="E34" t="s">
        <v>57</v>
      </c>
    </row>
    <row r="35" spans="1:5" x14ac:dyDescent="0.25">
      <c r="A35" s="6">
        <v>44651</v>
      </c>
      <c r="B35" t="s">
        <v>48</v>
      </c>
      <c r="C35">
        <v>3728</v>
      </c>
      <c r="D35" t="s">
        <v>29</v>
      </c>
      <c r="E35" t="s">
        <v>59</v>
      </c>
    </row>
    <row r="36" spans="1:5" x14ac:dyDescent="0.25">
      <c r="A36" s="6">
        <v>44651</v>
      </c>
      <c r="B36" t="s">
        <v>49</v>
      </c>
      <c r="C36">
        <v>10479</v>
      </c>
      <c r="D36" t="s">
        <v>30</v>
      </c>
      <c r="E36" t="s">
        <v>58</v>
      </c>
    </row>
    <row r="37" spans="1:5" x14ac:dyDescent="0.25">
      <c r="A37" s="6">
        <v>44651</v>
      </c>
      <c r="B37" t="s">
        <v>50</v>
      </c>
      <c r="C37">
        <v>44225</v>
      </c>
      <c r="D37" t="s">
        <v>31</v>
      </c>
      <c r="E37" t="s">
        <v>57</v>
      </c>
    </row>
    <row r="38" spans="1:5" x14ac:dyDescent="0.25">
      <c r="A38" s="6">
        <v>44681</v>
      </c>
      <c r="B38" t="s">
        <v>48</v>
      </c>
      <c r="C38">
        <v>3928</v>
      </c>
      <c r="D38" t="s">
        <v>29</v>
      </c>
      <c r="E38" t="s">
        <v>59</v>
      </c>
    </row>
    <row r="39" spans="1:5" x14ac:dyDescent="0.25">
      <c r="A39" s="6">
        <v>44681</v>
      </c>
      <c r="B39" t="s">
        <v>49</v>
      </c>
      <c r="C39">
        <v>18239</v>
      </c>
      <c r="D39" t="s">
        <v>30</v>
      </c>
      <c r="E39" t="s">
        <v>58</v>
      </c>
    </row>
    <row r="40" spans="1:5" x14ac:dyDescent="0.25">
      <c r="A40" s="6">
        <v>44681</v>
      </c>
      <c r="B40" t="s">
        <v>50</v>
      </c>
      <c r="C40">
        <v>24957</v>
      </c>
      <c r="D40" t="s">
        <v>31</v>
      </c>
      <c r="E40" t="s">
        <v>57</v>
      </c>
    </row>
    <row r="41" spans="1:5" x14ac:dyDescent="0.25">
      <c r="A41" s="6">
        <v>44681</v>
      </c>
      <c r="B41" t="s">
        <v>48</v>
      </c>
      <c r="C41">
        <v>2606</v>
      </c>
      <c r="D41" t="s">
        <v>29</v>
      </c>
      <c r="E41" t="s">
        <v>59</v>
      </c>
    </row>
    <row r="42" spans="1:5" x14ac:dyDescent="0.25">
      <c r="A42" s="6">
        <v>44681</v>
      </c>
      <c r="B42" t="s">
        <v>49</v>
      </c>
      <c r="C42">
        <v>15343</v>
      </c>
      <c r="D42" t="s">
        <v>30</v>
      </c>
      <c r="E42" t="s">
        <v>58</v>
      </c>
    </row>
    <row r="43" spans="1:5" x14ac:dyDescent="0.25">
      <c r="A43" s="6">
        <v>44681</v>
      </c>
      <c r="B43" t="s">
        <v>50</v>
      </c>
      <c r="C43">
        <v>41762</v>
      </c>
      <c r="D43" t="s">
        <v>31</v>
      </c>
      <c r="E43" t="s">
        <v>57</v>
      </c>
    </row>
    <row r="44" spans="1:5" x14ac:dyDescent="0.25">
      <c r="A44" s="6">
        <v>44681</v>
      </c>
      <c r="B44" t="s">
        <v>48</v>
      </c>
      <c r="C44">
        <v>1331</v>
      </c>
      <c r="D44" t="s">
        <v>29</v>
      </c>
      <c r="E44" t="s">
        <v>59</v>
      </c>
    </row>
    <row r="45" spans="1:5" x14ac:dyDescent="0.25">
      <c r="A45" s="6">
        <v>44681</v>
      </c>
      <c r="B45" t="s">
        <v>49</v>
      </c>
      <c r="C45">
        <v>11690</v>
      </c>
      <c r="D45" t="s">
        <v>30</v>
      </c>
      <c r="E45" t="s">
        <v>58</v>
      </c>
    </row>
    <row r="46" spans="1:5" x14ac:dyDescent="0.25">
      <c r="A46" s="6">
        <v>44681</v>
      </c>
      <c r="B46" t="s">
        <v>50</v>
      </c>
      <c r="C46">
        <v>26035</v>
      </c>
      <c r="D46" t="s">
        <v>31</v>
      </c>
      <c r="E46" t="s">
        <v>57</v>
      </c>
    </row>
    <row r="47" spans="1:5" x14ac:dyDescent="0.25">
      <c r="A47" s="6">
        <v>44681</v>
      </c>
      <c r="B47" t="s">
        <v>48</v>
      </c>
      <c r="C47">
        <v>2225</v>
      </c>
      <c r="D47" t="s">
        <v>29</v>
      </c>
      <c r="E47" t="s">
        <v>59</v>
      </c>
    </row>
    <row r="48" spans="1:5" x14ac:dyDescent="0.25">
      <c r="A48" s="6">
        <v>44681</v>
      </c>
      <c r="B48" t="s">
        <v>49</v>
      </c>
      <c r="C48">
        <v>17309</v>
      </c>
      <c r="D48" t="s">
        <v>30</v>
      </c>
      <c r="E48" t="s">
        <v>58</v>
      </c>
    </row>
    <row r="49" spans="1:5" x14ac:dyDescent="0.25">
      <c r="A49" s="6">
        <v>44681</v>
      </c>
      <c r="B49" t="s">
        <v>50</v>
      </c>
      <c r="C49">
        <v>44322</v>
      </c>
      <c r="D49" t="s">
        <v>31</v>
      </c>
      <c r="E49" t="s">
        <v>57</v>
      </c>
    </row>
    <row r="50" spans="1:5" x14ac:dyDescent="0.25">
      <c r="A50" s="6">
        <v>44712</v>
      </c>
      <c r="B50" t="s">
        <v>48</v>
      </c>
      <c r="C50">
        <v>4030</v>
      </c>
      <c r="D50" t="s">
        <v>29</v>
      </c>
      <c r="E50" t="s">
        <v>59</v>
      </c>
    </row>
    <row r="51" spans="1:5" x14ac:dyDescent="0.25">
      <c r="A51" s="6">
        <v>44712</v>
      </c>
      <c r="B51" t="s">
        <v>49</v>
      </c>
      <c r="C51">
        <v>15927</v>
      </c>
      <c r="D51" t="s">
        <v>30</v>
      </c>
      <c r="E51" t="s">
        <v>58</v>
      </c>
    </row>
    <row r="52" spans="1:5" x14ac:dyDescent="0.25">
      <c r="A52" s="6">
        <v>44712</v>
      </c>
      <c r="B52" t="s">
        <v>50</v>
      </c>
      <c r="C52">
        <v>43730</v>
      </c>
      <c r="D52" t="s">
        <v>31</v>
      </c>
      <c r="E52" t="s">
        <v>57</v>
      </c>
    </row>
    <row r="53" spans="1:5" x14ac:dyDescent="0.25">
      <c r="A53" s="6">
        <v>44712</v>
      </c>
      <c r="B53" t="s">
        <v>48</v>
      </c>
      <c r="C53">
        <v>911</v>
      </c>
      <c r="D53" t="s">
        <v>29</v>
      </c>
      <c r="E53" t="s">
        <v>59</v>
      </c>
    </row>
    <row r="54" spans="1:5" x14ac:dyDescent="0.25">
      <c r="A54" s="6">
        <v>44712</v>
      </c>
      <c r="B54" t="s">
        <v>49</v>
      </c>
      <c r="C54">
        <v>7061</v>
      </c>
      <c r="D54" t="s">
        <v>30</v>
      </c>
      <c r="E54" t="s">
        <v>58</v>
      </c>
    </row>
    <row r="55" spans="1:5" x14ac:dyDescent="0.25">
      <c r="A55" s="6">
        <v>44712</v>
      </c>
      <c r="B55" t="s">
        <v>50</v>
      </c>
      <c r="C55">
        <v>27128</v>
      </c>
      <c r="D55" t="s">
        <v>31</v>
      </c>
      <c r="E55" t="s">
        <v>57</v>
      </c>
    </row>
    <row r="56" spans="1:5" x14ac:dyDescent="0.25">
      <c r="A56" s="6">
        <v>44712</v>
      </c>
      <c r="B56" t="s">
        <v>48</v>
      </c>
      <c r="C56">
        <v>2210</v>
      </c>
      <c r="D56" t="s">
        <v>29</v>
      </c>
      <c r="E56" t="s">
        <v>59</v>
      </c>
    </row>
    <row r="57" spans="1:5" x14ac:dyDescent="0.25">
      <c r="A57" s="6">
        <v>44712</v>
      </c>
      <c r="B57" t="s">
        <v>49</v>
      </c>
      <c r="C57">
        <v>16579</v>
      </c>
      <c r="D57" t="s">
        <v>30</v>
      </c>
      <c r="E57" t="s">
        <v>58</v>
      </c>
    </row>
    <row r="58" spans="1:5" x14ac:dyDescent="0.25">
      <c r="A58" s="6">
        <v>44712</v>
      </c>
      <c r="B58" t="s">
        <v>50</v>
      </c>
      <c r="C58">
        <v>46730</v>
      </c>
      <c r="D58" t="s">
        <v>31</v>
      </c>
      <c r="E58" t="s">
        <v>57</v>
      </c>
    </row>
    <row r="59" spans="1:5" x14ac:dyDescent="0.25">
      <c r="A59" s="6">
        <v>44712</v>
      </c>
      <c r="B59" t="s">
        <v>48</v>
      </c>
      <c r="C59">
        <v>4847</v>
      </c>
      <c r="D59" t="s">
        <v>29</v>
      </c>
      <c r="E59" t="s">
        <v>59</v>
      </c>
    </row>
    <row r="60" spans="1:5" x14ac:dyDescent="0.25">
      <c r="A60" s="6">
        <v>44712</v>
      </c>
      <c r="B60" t="s">
        <v>49</v>
      </c>
      <c r="C60">
        <v>10328</v>
      </c>
      <c r="D60" t="s">
        <v>30</v>
      </c>
      <c r="E60" t="s">
        <v>58</v>
      </c>
    </row>
    <row r="61" spans="1:5" x14ac:dyDescent="0.25">
      <c r="A61" s="6">
        <v>44712</v>
      </c>
      <c r="B61" t="s">
        <v>50</v>
      </c>
      <c r="C61">
        <v>34930</v>
      </c>
      <c r="D61" t="s">
        <v>31</v>
      </c>
      <c r="E61" t="s">
        <v>57</v>
      </c>
    </row>
    <row r="62" spans="1:5" x14ac:dyDescent="0.25">
      <c r="A62" s="6">
        <v>44742</v>
      </c>
      <c r="B62" t="s">
        <v>48</v>
      </c>
      <c r="C62">
        <v>2710</v>
      </c>
      <c r="D62" t="s">
        <v>29</v>
      </c>
      <c r="E62" t="s">
        <v>59</v>
      </c>
    </row>
    <row r="63" spans="1:5" x14ac:dyDescent="0.25">
      <c r="A63" s="6">
        <v>44742</v>
      </c>
      <c r="B63" t="s">
        <v>49</v>
      </c>
      <c r="C63">
        <v>18488</v>
      </c>
      <c r="D63" t="s">
        <v>30</v>
      </c>
      <c r="E63" t="s">
        <v>58</v>
      </c>
    </row>
    <row r="64" spans="1:5" x14ac:dyDescent="0.25">
      <c r="A64" s="6">
        <v>44742</v>
      </c>
      <c r="B64" t="s">
        <v>50</v>
      </c>
      <c r="C64">
        <v>45179</v>
      </c>
      <c r="D64" t="s">
        <v>31</v>
      </c>
      <c r="E64" t="s">
        <v>57</v>
      </c>
    </row>
    <row r="65" spans="1:5" x14ac:dyDescent="0.25">
      <c r="A65" s="6">
        <v>44742</v>
      </c>
      <c r="B65" t="s">
        <v>48</v>
      </c>
      <c r="C65">
        <v>897</v>
      </c>
      <c r="D65" t="s">
        <v>29</v>
      </c>
      <c r="E65" t="s">
        <v>59</v>
      </c>
    </row>
    <row r="66" spans="1:5" x14ac:dyDescent="0.25">
      <c r="A66" s="6">
        <v>44742</v>
      </c>
      <c r="B66" t="s">
        <v>49</v>
      </c>
      <c r="C66">
        <v>9948</v>
      </c>
      <c r="D66" t="s">
        <v>30</v>
      </c>
      <c r="E66" t="s">
        <v>58</v>
      </c>
    </row>
    <row r="67" spans="1:5" x14ac:dyDescent="0.25">
      <c r="A67" s="6">
        <v>44742</v>
      </c>
      <c r="B67" t="s">
        <v>50</v>
      </c>
      <c r="C67">
        <v>39818</v>
      </c>
      <c r="D67" t="s">
        <v>31</v>
      </c>
      <c r="E67" t="s">
        <v>57</v>
      </c>
    </row>
    <row r="68" spans="1:5" x14ac:dyDescent="0.25">
      <c r="A68" s="6">
        <v>44742</v>
      </c>
      <c r="B68" t="s">
        <v>48</v>
      </c>
      <c r="C68">
        <v>2004</v>
      </c>
      <c r="D68" t="s">
        <v>29</v>
      </c>
      <c r="E68" t="s">
        <v>59</v>
      </c>
    </row>
    <row r="69" spans="1:5" x14ac:dyDescent="0.25">
      <c r="A69" s="6">
        <v>44742</v>
      </c>
      <c r="B69" t="s">
        <v>49</v>
      </c>
      <c r="C69">
        <v>18852</v>
      </c>
      <c r="D69" t="s">
        <v>30</v>
      </c>
      <c r="E69" t="s">
        <v>58</v>
      </c>
    </row>
    <row r="70" spans="1:5" x14ac:dyDescent="0.25">
      <c r="A70" s="6">
        <v>44742</v>
      </c>
      <c r="B70" t="s">
        <v>50</v>
      </c>
      <c r="C70">
        <v>24427</v>
      </c>
      <c r="D70" t="s">
        <v>31</v>
      </c>
      <c r="E70" t="s">
        <v>57</v>
      </c>
    </row>
    <row r="71" spans="1:5" x14ac:dyDescent="0.25">
      <c r="A71" s="6">
        <v>44742</v>
      </c>
      <c r="B71" t="s">
        <v>48</v>
      </c>
      <c r="C71">
        <v>1034</v>
      </c>
      <c r="D71" t="s">
        <v>29</v>
      </c>
      <c r="E71" t="s">
        <v>59</v>
      </c>
    </row>
    <row r="72" spans="1:5" x14ac:dyDescent="0.25">
      <c r="A72" s="6">
        <v>44742</v>
      </c>
      <c r="B72" t="s">
        <v>49</v>
      </c>
      <c r="C72">
        <v>13788</v>
      </c>
      <c r="D72" t="s">
        <v>30</v>
      </c>
      <c r="E72" t="s">
        <v>58</v>
      </c>
    </row>
    <row r="73" spans="1:5" x14ac:dyDescent="0.25">
      <c r="A73" s="6">
        <v>44742</v>
      </c>
      <c r="B73" t="s">
        <v>50</v>
      </c>
      <c r="C73">
        <v>33487</v>
      </c>
      <c r="D73" t="s">
        <v>31</v>
      </c>
      <c r="E73" t="s">
        <v>57</v>
      </c>
    </row>
    <row r="74" spans="1:5" x14ac:dyDescent="0.25">
      <c r="A74" s="6">
        <v>44773</v>
      </c>
      <c r="B74" t="s">
        <v>48</v>
      </c>
      <c r="C74">
        <v>1111</v>
      </c>
      <c r="D74" t="s">
        <v>29</v>
      </c>
      <c r="E74" t="s">
        <v>59</v>
      </c>
    </row>
    <row r="75" spans="1:5" x14ac:dyDescent="0.25">
      <c r="A75" s="6">
        <v>44773</v>
      </c>
      <c r="B75" t="s">
        <v>49</v>
      </c>
      <c r="C75">
        <v>6801</v>
      </c>
      <c r="D75" t="s">
        <v>30</v>
      </c>
      <c r="E75" t="s">
        <v>58</v>
      </c>
    </row>
    <row r="76" spans="1:5" x14ac:dyDescent="0.25">
      <c r="A76" s="6">
        <v>44773</v>
      </c>
      <c r="B76" t="s">
        <v>50</v>
      </c>
      <c r="C76">
        <v>22550</v>
      </c>
      <c r="D76" t="s">
        <v>31</v>
      </c>
      <c r="E76" t="s">
        <v>57</v>
      </c>
    </row>
    <row r="77" spans="1:5" x14ac:dyDescent="0.25">
      <c r="A77" s="6">
        <v>44773</v>
      </c>
      <c r="B77" t="s">
        <v>48</v>
      </c>
      <c r="C77">
        <v>2316</v>
      </c>
      <c r="D77" t="s">
        <v>29</v>
      </c>
      <c r="E77" t="s">
        <v>59</v>
      </c>
    </row>
    <row r="78" spans="1:5" x14ac:dyDescent="0.25">
      <c r="A78" s="6">
        <v>44773</v>
      </c>
      <c r="B78" t="s">
        <v>49</v>
      </c>
      <c r="C78">
        <v>15223</v>
      </c>
      <c r="D78" t="s">
        <v>30</v>
      </c>
      <c r="E78" t="s">
        <v>58</v>
      </c>
    </row>
    <row r="79" spans="1:5" x14ac:dyDescent="0.25">
      <c r="A79" s="6">
        <v>44773</v>
      </c>
      <c r="B79" t="s">
        <v>50</v>
      </c>
      <c r="C79">
        <v>37289</v>
      </c>
      <c r="D79" t="s">
        <v>31</v>
      </c>
      <c r="E79" t="s">
        <v>57</v>
      </c>
    </row>
    <row r="80" spans="1:5" x14ac:dyDescent="0.25">
      <c r="A80" s="6">
        <v>44773</v>
      </c>
      <c r="B80" t="s">
        <v>48</v>
      </c>
      <c r="C80">
        <v>786</v>
      </c>
      <c r="D80" t="s">
        <v>29</v>
      </c>
      <c r="E80" t="s">
        <v>59</v>
      </c>
    </row>
    <row r="81" spans="1:5" x14ac:dyDescent="0.25">
      <c r="A81" s="6">
        <v>44773</v>
      </c>
      <c r="B81" t="s">
        <v>49</v>
      </c>
      <c r="C81">
        <v>5119</v>
      </c>
      <c r="D81" t="s">
        <v>30</v>
      </c>
      <c r="E81" t="s">
        <v>58</v>
      </c>
    </row>
    <row r="82" spans="1:5" x14ac:dyDescent="0.25">
      <c r="A82" s="6">
        <v>44773</v>
      </c>
      <c r="B82" t="s">
        <v>50</v>
      </c>
      <c r="C82">
        <v>25975</v>
      </c>
      <c r="D82" t="s">
        <v>31</v>
      </c>
      <c r="E82" t="s">
        <v>57</v>
      </c>
    </row>
    <row r="83" spans="1:5" x14ac:dyDescent="0.25">
      <c r="A83" s="6">
        <v>44773</v>
      </c>
      <c r="B83" t="s">
        <v>48</v>
      </c>
      <c r="C83">
        <v>4474</v>
      </c>
      <c r="D83" t="s">
        <v>29</v>
      </c>
      <c r="E83" t="s">
        <v>59</v>
      </c>
    </row>
    <row r="84" spans="1:5" x14ac:dyDescent="0.25">
      <c r="A84" s="6">
        <v>44773</v>
      </c>
      <c r="B84" t="s">
        <v>49</v>
      </c>
      <c r="C84">
        <v>19871</v>
      </c>
      <c r="D84" t="s">
        <v>30</v>
      </c>
      <c r="E84" t="s">
        <v>58</v>
      </c>
    </row>
    <row r="85" spans="1:5" x14ac:dyDescent="0.25">
      <c r="A85" s="6">
        <v>44773</v>
      </c>
      <c r="B85" t="s">
        <v>50</v>
      </c>
      <c r="C85">
        <v>21303</v>
      </c>
      <c r="D85" t="s">
        <v>31</v>
      </c>
      <c r="E85" t="s">
        <v>57</v>
      </c>
    </row>
    <row r="86" spans="1:5" x14ac:dyDescent="0.25">
      <c r="A86" s="6">
        <v>44804</v>
      </c>
      <c r="B86" t="s">
        <v>48</v>
      </c>
      <c r="C86">
        <v>603</v>
      </c>
      <c r="D86" t="s">
        <v>29</v>
      </c>
      <c r="E86" t="s">
        <v>59</v>
      </c>
    </row>
    <row r="87" spans="1:5" x14ac:dyDescent="0.25">
      <c r="A87" s="6">
        <v>44804</v>
      </c>
      <c r="B87" t="s">
        <v>49</v>
      </c>
      <c r="C87">
        <v>18752</v>
      </c>
      <c r="D87" t="s">
        <v>30</v>
      </c>
      <c r="E87" t="s">
        <v>58</v>
      </c>
    </row>
    <row r="88" spans="1:5" x14ac:dyDescent="0.25">
      <c r="A88" s="6">
        <v>44804</v>
      </c>
      <c r="B88" t="s">
        <v>50</v>
      </c>
      <c r="C88">
        <v>23566</v>
      </c>
      <c r="D88" t="s">
        <v>31</v>
      </c>
      <c r="E88" t="s">
        <v>57</v>
      </c>
    </row>
    <row r="89" spans="1:5" x14ac:dyDescent="0.25">
      <c r="A89" s="6">
        <v>44804</v>
      </c>
      <c r="B89" t="s">
        <v>48</v>
      </c>
      <c r="C89">
        <v>2534</v>
      </c>
      <c r="D89" t="s">
        <v>29</v>
      </c>
      <c r="E89" t="s">
        <v>59</v>
      </c>
    </row>
    <row r="90" spans="1:5" x14ac:dyDescent="0.25">
      <c r="A90" s="6">
        <v>44804</v>
      </c>
      <c r="B90" t="s">
        <v>49</v>
      </c>
      <c r="C90">
        <v>11546</v>
      </c>
      <c r="D90" t="s">
        <v>30</v>
      </c>
      <c r="E90" t="s">
        <v>58</v>
      </c>
    </row>
    <row r="91" spans="1:5" x14ac:dyDescent="0.25">
      <c r="A91" s="6">
        <v>44804</v>
      </c>
      <c r="B91" t="s">
        <v>50</v>
      </c>
      <c r="C91">
        <v>47808</v>
      </c>
      <c r="D91" t="s">
        <v>31</v>
      </c>
      <c r="E91" t="s">
        <v>57</v>
      </c>
    </row>
    <row r="92" spans="1:5" x14ac:dyDescent="0.25">
      <c r="A92" s="6">
        <v>44804</v>
      </c>
      <c r="B92" t="s">
        <v>48</v>
      </c>
      <c r="C92">
        <v>4709</v>
      </c>
      <c r="D92" t="s">
        <v>29</v>
      </c>
      <c r="E92" t="s">
        <v>59</v>
      </c>
    </row>
    <row r="93" spans="1:5" x14ac:dyDescent="0.25">
      <c r="A93" s="6">
        <v>44804</v>
      </c>
      <c r="B93" t="s">
        <v>49</v>
      </c>
      <c r="C93">
        <v>12474</v>
      </c>
      <c r="D93" t="s">
        <v>30</v>
      </c>
      <c r="E93" t="s">
        <v>58</v>
      </c>
    </row>
    <row r="94" spans="1:5" x14ac:dyDescent="0.25">
      <c r="A94" s="6">
        <v>44804</v>
      </c>
      <c r="B94" t="s">
        <v>50</v>
      </c>
      <c r="C94">
        <v>37827</v>
      </c>
      <c r="D94" t="s">
        <v>31</v>
      </c>
      <c r="E94" t="s">
        <v>57</v>
      </c>
    </row>
    <row r="95" spans="1:5" x14ac:dyDescent="0.25">
      <c r="A95" s="6">
        <v>44804</v>
      </c>
      <c r="B95" t="s">
        <v>48</v>
      </c>
      <c r="C95">
        <v>3536</v>
      </c>
      <c r="D95" t="s">
        <v>29</v>
      </c>
      <c r="E95" t="s">
        <v>59</v>
      </c>
    </row>
    <row r="96" spans="1:5" x14ac:dyDescent="0.25">
      <c r="A96" s="6">
        <v>44804</v>
      </c>
      <c r="B96" t="s">
        <v>49</v>
      </c>
      <c r="C96">
        <v>13557</v>
      </c>
      <c r="D96" t="s">
        <v>30</v>
      </c>
      <c r="E96" t="s">
        <v>58</v>
      </c>
    </row>
    <row r="97" spans="1:5" x14ac:dyDescent="0.25">
      <c r="A97" s="6">
        <v>44804</v>
      </c>
      <c r="B97" t="s">
        <v>50</v>
      </c>
      <c r="C97">
        <v>48242</v>
      </c>
      <c r="D97" t="s">
        <v>31</v>
      </c>
      <c r="E97" t="s">
        <v>57</v>
      </c>
    </row>
    <row r="98" spans="1:5" x14ac:dyDescent="0.25">
      <c r="A98" s="6">
        <v>44834</v>
      </c>
      <c r="B98" t="s">
        <v>48</v>
      </c>
      <c r="C98">
        <v>2380</v>
      </c>
      <c r="D98" t="s">
        <v>29</v>
      </c>
      <c r="E98" t="s">
        <v>59</v>
      </c>
    </row>
    <row r="99" spans="1:5" x14ac:dyDescent="0.25">
      <c r="A99" s="6">
        <v>44834</v>
      </c>
      <c r="B99" t="s">
        <v>49</v>
      </c>
      <c r="C99">
        <v>9011</v>
      </c>
      <c r="D99" t="s">
        <v>30</v>
      </c>
      <c r="E99" t="s">
        <v>58</v>
      </c>
    </row>
    <row r="100" spans="1:5" x14ac:dyDescent="0.25">
      <c r="A100" s="6">
        <v>44834</v>
      </c>
      <c r="B100" t="s">
        <v>50</v>
      </c>
      <c r="C100">
        <v>26157</v>
      </c>
      <c r="D100" t="s">
        <v>31</v>
      </c>
      <c r="E100" t="s">
        <v>57</v>
      </c>
    </row>
    <row r="101" spans="1:5" x14ac:dyDescent="0.25">
      <c r="A101" s="6">
        <v>44834</v>
      </c>
      <c r="B101" t="s">
        <v>48</v>
      </c>
      <c r="C101">
        <v>1471</v>
      </c>
      <c r="D101" t="s">
        <v>29</v>
      </c>
      <c r="E101" t="s">
        <v>59</v>
      </c>
    </row>
    <row r="102" spans="1:5" x14ac:dyDescent="0.25">
      <c r="A102" s="6">
        <v>44834</v>
      </c>
      <c r="B102" t="s">
        <v>49</v>
      </c>
      <c r="C102">
        <v>9112</v>
      </c>
      <c r="D102" t="s">
        <v>30</v>
      </c>
      <c r="E102" t="s">
        <v>58</v>
      </c>
    </row>
    <row r="103" spans="1:5" x14ac:dyDescent="0.25">
      <c r="A103" s="6">
        <v>44834</v>
      </c>
      <c r="B103" t="s">
        <v>50</v>
      </c>
      <c r="C103">
        <v>28889</v>
      </c>
      <c r="D103" t="s">
        <v>31</v>
      </c>
      <c r="E103" t="s">
        <v>57</v>
      </c>
    </row>
    <row r="104" spans="1:5" x14ac:dyDescent="0.25">
      <c r="A104" s="6">
        <v>44834</v>
      </c>
      <c r="B104" t="s">
        <v>48</v>
      </c>
      <c r="C104">
        <v>3598</v>
      </c>
      <c r="D104" t="s">
        <v>29</v>
      </c>
      <c r="E104" t="s">
        <v>59</v>
      </c>
    </row>
    <row r="105" spans="1:5" x14ac:dyDescent="0.25">
      <c r="A105" s="6">
        <v>44834</v>
      </c>
      <c r="B105" t="s">
        <v>49</v>
      </c>
      <c r="C105">
        <v>13818</v>
      </c>
      <c r="D105" t="s">
        <v>30</v>
      </c>
      <c r="E105" t="s">
        <v>58</v>
      </c>
    </row>
    <row r="106" spans="1:5" x14ac:dyDescent="0.25">
      <c r="A106" s="6">
        <v>44834</v>
      </c>
      <c r="B106" t="s">
        <v>50</v>
      </c>
      <c r="C106">
        <v>35846</v>
      </c>
      <c r="D106" t="s">
        <v>31</v>
      </c>
      <c r="E106" t="s">
        <v>57</v>
      </c>
    </row>
    <row r="107" spans="1:5" x14ac:dyDescent="0.25">
      <c r="A107" s="6">
        <v>44834</v>
      </c>
      <c r="B107" t="s">
        <v>48</v>
      </c>
      <c r="C107">
        <v>4567</v>
      </c>
      <c r="D107" t="s">
        <v>29</v>
      </c>
      <c r="E107" t="s">
        <v>59</v>
      </c>
    </row>
    <row r="108" spans="1:5" x14ac:dyDescent="0.25">
      <c r="A108" s="6">
        <v>44834</v>
      </c>
      <c r="B108" t="s">
        <v>49</v>
      </c>
      <c r="C108">
        <v>19075</v>
      </c>
      <c r="D108" t="s">
        <v>30</v>
      </c>
      <c r="E108" t="s">
        <v>58</v>
      </c>
    </row>
    <row r="109" spans="1:5" x14ac:dyDescent="0.25">
      <c r="A109" s="6">
        <v>44834</v>
      </c>
      <c r="B109" t="s">
        <v>50</v>
      </c>
      <c r="C109">
        <v>47971</v>
      </c>
      <c r="D109" t="s">
        <v>31</v>
      </c>
      <c r="E109" t="s">
        <v>57</v>
      </c>
    </row>
    <row r="110" spans="1:5" x14ac:dyDescent="0.25">
      <c r="A110" s="6">
        <v>44865</v>
      </c>
      <c r="B110" t="s">
        <v>48</v>
      </c>
      <c r="C110">
        <v>636</v>
      </c>
      <c r="D110" t="s">
        <v>29</v>
      </c>
      <c r="E110" t="s">
        <v>59</v>
      </c>
    </row>
    <row r="111" spans="1:5" x14ac:dyDescent="0.25">
      <c r="A111" s="6">
        <v>44865</v>
      </c>
      <c r="B111" t="s">
        <v>49</v>
      </c>
      <c r="C111">
        <v>6472</v>
      </c>
      <c r="D111" t="s">
        <v>30</v>
      </c>
      <c r="E111" t="s">
        <v>58</v>
      </c>
    </row>
    <row r="112" spans="1:5" x14ac:dyDescent="0.25">
      <c r="A112" s="6">
        <v>44865</v>
      </c>
      <c r="B112" t="s">
        <v>50</v>
      </c>
      <c r="C112">
        <v>30646</v>
      </c>
      <c r="D112" t="s">
        <v>31</v>
      </c>
      <c r="E112" t="s">
        <v>57</v>
      </c>
    </row>
    <row r="113" spans="1:5" x14ac:dyDescent="0.25">
      <c r="A113" s="6">
        <v>44865</v>
      </c>
      <c r="B113" t="s">
        <v>48</v>
      </c>
      <c r="C113">
        <v>745</v>
      </c>
      <c r="D113" t="s">
        <v>29</v>
      </c>
      <c r="E113" t="s">
        <v>59</v>
      </c>
    </row>
    <row r="114" spans="1:5" x14ac:dyDescent="0.25">
      <c r="A114" s="6">
        <v>44865</v>
      </c>
      <c r="B114" t="s">
        <v>49</v>
      </c>
      <c r="C114">
        <v>16966</v>
      </c>
      <c r="D114" t="s">
        <v>30</v>
      </c>
      <c r="E114" t="s">
        <v>58</v>
      </c>
    </row>
    <row r="115" spans="1:5" x14ac:dyDescent="0.25">
      <c r="A115" s="6">
        <v>44865</v>
      </c>
      <c r="B115" t="s">
        <v>50</v>
      </c>
      <c r="C115">
        <v>25920</v>
      </c>
      <c r="D115" t="s">
        <v>31</v>
      </c>
      <c r="E115" t="s">
        <v>57</v>
      </c>
    </row>
    <row r="116" spans="1:5" x14ac:dyDescent="0.25">
      <c r="A116" s="6">
        <v>44865</v>
      </c>
      <c r="B116" t="s">
        <v>48</v>
      </c>
      <c r="C116">
        <v>2587</v>
      </c>
      <c r="D116" t="s">
        <v>29</v>
      </c>
      <c r="E116" t="s">
        <v>59</v>
      </c>
    </row>
    <row r="117" spans="1:5" x14ac:dyDescent="0.25">
      <c r="A117" s="6">
        <v>44865</v>
      </c>
      <c r="B117" t="s">
        <v>49</v>
      </c>
      <c r="C117">
        <v>10212</v>
      </c>
      <c r="D117" t="s">
        <v>30</v>
      </c>
      <c r="E117" t="s">
        <v>58</v>
      </c>
    </row>
    <row r="118" spans="1:5" x14ac:dyDescent="0.25">
      <c r="A118" s="6">
        <v>44865</v>
      </c>
      <c r="B118" t="s">
        <v>50</v>
      </c>
      <c r="C118">
        <v>36400</v>
      </c>
      <c r="D118" t="s">
        <v>31</v>
      </c>
      <c r="E118" t="s">
        <v>57</v>
      </c>
    </row>
    <row r="119" spans="1:5" x14ac:dyDescent="0.25">
      <c r="A119" s="6">
        <v>44865</v>
      </c>
      <c r="B119" t="s">
        <v>48</v>
      </c>
      <c r="C119">
        <v>3824</v>
      </c>
      <c r="D119" t="s">
        <v>29</v>
      </c>
      <c r="E119" t="s">
        <v>59</v>
      </c>
    </row>
    <row r="120" spans="1:5" x14ac:dyDescent="0.25">
      <c r="A120" s="6">
        <v>44865</v>
      </c>
      <c r="B120" t="s">
        <v>49</v>
      </c>
      <c r="C120">
        <v>8695</v>
      </c>
      <c r="D120" t="s">
        <v>30</v>
      </c>
      <c r="E120" t="s">
        <v>58</v>
      </c>
    </row>
    <row r="121" spans="1:5" x14ac:dyDescent="0.25">
      <c r="A121" s="6">
        <v>44865</v>
      </c>
      <c r="B121" t="s">
        <v>50</v>
      </c>
      <c r="C121">
        <v>40649</v>
      </c>
      <c r="D121" t="s">
        <v>31</v>
      </c>
      <c r="E121" t="s">
        <v>57</v>
      </c>
    </row>
    <row r="122" spans="1:5" x14ac:dyDescent="0.25">
      <c r="A122" s="6">
        <v>44895</v>
      </c>
      <c r="B122" t="s">
        <v>48</v>
      </c>
      <c r="C122">
        <v>1804</v>
      </c>
      <c r="D122" t="s">
        <v>29</v>
      </c>
      <c r="E122" t="s">
        <v>59</v>
      </c>
    </row>
    <row r="123" spans="1:5" x14ac:dyDescent="0.25">
      <c r="A123" s="6">
        <v>44895</v>
      </c>
      <c r="B123" t="s">
        <v>49</v>
      </c>
      <c r="C123">
        <v>14281</v>
      </c>
      <c r="D123" t="s">
        <v>30</v>
      </c>
      <c r="E123" t="s">
        <v>58</v>
      </c>
    </row>
    <row r="124" spans="1:5" x14ac:dyDescent="0.25">
      <c r="A124" s="6">
        <v>44895</v>
      </c>
      <c r="B124" t="s">
        <v>50</v>
      </c>
      <c r="C124">
        <v>28757</v>
      </c>
      <c r="D124" t="s">
        <v>31</v>
      </c>
      <c r="E124" t="s">
        <v>57</v>
      </c>
    </row>
    <row r="125" spans="1:5" x14ac:dyDescent="0.25">
      <c r="A125" s="6">
        <v>44895</v>
      </c>
      <c r="B125" t="s">
        <v>48</v>
      </c>
      <c r="C125">
        <v>414</v>
      </c>
      <c r="D125" t="s">
        <v>29</v>
      </c>
      <c r="E125" t="s">
        <v>59</v>
      </c>
    </row>
    <row r="126" spans="1:5" x14ac:dyDescent="0.25">
      <c r="A126" s="6">
        <v>44895</v>
      </c>
      <c r="B126" t="s">
        <v>49</v>
      </c>
      <c r="C126">
        <v>8869</v>
      </c>
      <c r="D126" t="s">
        <v>30</v>
      </c>
      <c r="E126" t="s">
        <v>58</v>
      </c>
    </row>
    <row r="127" spans="1:5" x14ac:dyDescent="0.25">
      <c r="A127" s="6">
        <v>44895</v>
      </c>
      <c r="B127" t="s">
        <v>50</v>
      </c>
      <c r="C127">
        <v>44551</v>
      </c>
      <c r="D127" t="s">
        <v>31</v>
      </c>
      <c r="E127" t="s">
        <v>57</v>
      </c>
    </row>
    <row r="128" spans="1:5" x14ac:dyDescent="0.25">
      <c r="A128" s="6">
        <v>44895</v>
      </c>
      <c r="B128" t="s">
        <v>48</v>
      </c>
      <c r="C128">
        <v>3060</v>
      </c>
      <c r="D128" t="s">
        <v>29</v>
      </c>
      <c r="E128" t="s">
        <v>59</v>
      </c>
    </row>
    <row r="129" spans="1:5" x14ac:dyDescent="0.25">
      <c r="A129" s="6">
        <v>44895</v>
      </c>
      <c r="B129" t="s">
        <v>49</v>
      </c>
      <c r="C129">
        <v>18775</v>
      </c>
      <c r="D129" t="s">
        <v>30</v>
      </c>
      <c r="E129" t="s">
        <v>58</v>
      </c>
    </row>
    <row r="130" spans="1:5" x14ac:dyDescent="0.25">
      <c r="A130" s="6">
        <v>44895</v>
      </c>
      <c r="B130" t="s">
        <v>50</v>
      </c>
      <c r="C130">
        <v>40850</v>
      </c>
      <c r="D130" t="s">
        <v>31</v>
      </c>
      <c r="E130" t="s">
        <v>57</v>
      </c>
    </row>
    <row r="131" spans="1:5" x14ac:dyDescent="0.25">
      <c r="A131" s="6">
        <v>44895</v>
      </c>
      <c r="B131" t="s">
        <v>48</v>
      </c>
      <c r="C131">
        <v>3401</v>
      </c>
      <c r="D131" t="s">
        <v>29</v>
      </c>
      <c r="E131" t="s">
        <v>59</v>
      </c>
    </row>
    <row r="132" spans="1:5" x14ac:dyDescent="0.25">
      <c r="A132" s="6">
        <v>44895</v>
      </c>
      <c r="B132" t="s">
        <v>49</v>
      </c>
      <c r="C132">
        <v>11270</v>
      </c>
      <c r="D132" t="s">
        <v>30</v>
      </c>
      <c r="E132" t="s">
        <v>58</v>
      </c>
    </row>
    <row r="133" spans="1:5" x14ac:dyDescent="0.25">
      <c r="A133" s="6">
        <v>44895</v>
      </c>
      <c r="B133" t="s">
        <v>50</v>
      </c>
      <c r="C133">
        <v>43477</v>
      </c>
      <c r="D133" t="s">
        <v>31</v>
      </c>
      <c r="E133" t="s">
        <v>57</v>
      </c>
    </row>
    <row r="134" spans="1:5" x14ac:dyDescent="0.25">
      <c r="A134" s="6">
        <v>44926</v>
      </c>
      <c r="B134" t="s">
        <v>48</v>
      </c>
      <c r="C134">
        <v>3384</v>
      </c>
      <c r="D134" t="s">
        <v>29</v>
      </c>
      <c r="E134" t="s">
        <v>59</v>
      </c>
    </row>
    <row r="135" spans="1:5" x14ac:dyDescent="0.25">
      <c r="A135" s="6">
        <v>44926</v>
      </c>
      <c r="B135" t="s">
        <v>49</v>
      </c>
      <c r="C135">
        <v>15555</v>
      </c>
      <c r="D135" t="s">
        <v>30</v>
      </c>
      <c r="E135" t="s">
        <v>58</v>
      </c>
    </row>
    <row r="136" spans="1:5" x14ac:dyDescent="0.25">
      <c r="A136" s="6">
        <v>44926</v>
      </c>
      <c r="B136" t="s">
        <v>50</v>
      </c>
      <c r="C136">
        <v>20562</v>
      </c>
      <c r="D136" t="s">
        <v>31</v>
      </c>
      <c r="E136" t="s">
        <v>57</v>
      </c>
    </row>
    <row r="137" spans="1:5" x14ac:dyDescent="0.25">
      <c r="A137" s="6">
        <v>44926</v>
      </c>
      <c r="B137" t="s">
        <v>48</v>
      </c>
      <c r="C137">
        <v>1471</v>
      </c>
      <c r="D137" t="s">
        <v>29</v>
      </c>
      <c r="E137" t="s">
        <v>59</v>
      </c>
    </row>
    <row r="138" spans="1:5" x14ac:dyDescent="0.25">
      <c r="A138" s="6">
        <v>44926</v>
      </c>
      <c r="B138" t="s">
        <v>49</v>
      </c>
      <c r="C138">
        <v>7896</v>
      </c>
      <c r="D138" t="s">
        <v>30</v>
      </c>
      <c r="E138" t="s">
        <v>58</v>
      </c>
    </row>
    <row r="139" spans="1:5" x14ac:dyDescent="0.25">
      <c r="A139" s="6">
        <v>44926</v>
      </c>
      <c r="B139" t="s">
        <v>50</v>
      </c>
      <c r="C139">
        <v>48592</v>
      </c>
      <c r="D139" t="s">
        <v>31</v>
      </c>
      <c r="E139" t="s">
        <v>57</v>
      </c>
    </row>
    <row r="140" spans="1:5" x14ac:dyDescent="0.25">
      <c r="A140" s="6">
        <v>44926</v>
      </c>
      <c r="B140" t="s">
        <v>48</v>
      </c>
      <c r="C140">
        <v>4604</v>
      </c>
      <c r="D140" t="s">
        <v>29</v>
      </c>
      <c r="E140" t="s">
        <v>59</v>
      </c>
    </row>
    <row r="141" spans="1:5" x14ac:dyDescent="0.25">
      <c r="A141" s="6">
        <v>44926</v>
      </c>
      <c r="B141" t="s">
        <v>49</v>
      </c>
      <c r="C141">
        <v>5656</v>
      </c>
      <c r="D141" t="s">
        <v>30</v>
      </c>
      <c r="E141" t="s">
        <v>58</v>
      </c>
    </row>
    <row r="142" spans="1:5" x14ac:dyDescent="0.25">
      <c r="A142" s="6">
        <v>44926</v>
      </c>
      <c r="B142" t="s">
        <v>50</v>
      </c>
      <c r="C142">
        <v>45923</v>
      </c>
      <c r="D142" t="s">
        <v>31</v>
      </c>
      <c r="E142" t="s">
        <v>57</v>
      </c>
    </row>
    <row r="143" spans="1:5" x14ac:dyDescent="0.25">
      <c r="A143" s="6">
        <v>44926</v>
      </c>
      <c r="B143" t="s">
        <v>48</v>
      </c>
      <c r="C143">
        <v>3964</v>
      </c>
      <c r="D143" t="s">
        <v>29</v>
      </c>
      <c r="E143" t="s">
        <v>59</v>
      </c>
    </row>
    <row r="144" spans="1:5" x14ac:dyDescent="0.25">
      <c r="A144" s="6">
        <v>44926</v>
      </c>
      <c r="B144" t="s">
        <v>49</v>
      </c>
      <c r="C144">
        <v>5388</v>
      </c>
      <c r="D144" t="s">
        <v>30</v>
      </c>
      <c r="E144" t="s">
        <v>58</v>
      </c>
    </row>
    <row r="145" spans="1:5" x14ac:dyDescent="0.25">
      <c r="A145" s="6">
        <v>44926</v>
      </c>
      <c r="B145" t="s">
        <v>50</v>
      </c>
      <c r="C145">
        <v>40185</v>
      </c>
      <c r="D145" t="s">
        <v>31</v>
      </c>
      <c r="E145" t="s">
        <v>57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EA1B2-9A71-4FA7-AEF6-8AF250F8D262}">
  <sheetPr codeName="Sheet9"/>
  <dimension ref="A1:E145"/>
  <sheetViews>
    <sheetView workbookViewId="0"/>
  </sheetViews>
  <sheetFormatPr defaultRowHeight="15" x14ac:dyDescent="0.25"/>
  <cols>
    <col min="1" max="1" width="10.42578125" bestFit="1" customWidth="1"/>
    <col min="2" max="2" width="7.42578125" bestFit="1" customWidth="1"/>
    <col min="3" max="3" width="6" bestFit="1" customWidth="1"/>
    <col min="4" max="4" width="9.7109375" bestFit="1" customWidth="1"/>
    <col min="5" max="5" width="12" bestFit="1" customWidth="1"/>
  </cols>
  <sheetData>
    <row r="1" spans="1:5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</row>
    <row r="2" spans="1:5" x14ac:dyDescent="0.25">
      <c r="A2" s="6">
        <v>44592</v>
      </c>
      <c r="B2" t="s">
        <v>48</v>
      </c>
      <c r="C2">
        <v>4536</v>
      </c>
      <c r="D2" t="s">
        <v>29</v>
      </c>
      <c r="E2" t="s">
        <v>59</v>
      </c>
    </row>
    <row r="3" spans="1:5" x14ac:dyDescent="0.25">
      <c r="A3" s="6">
        <v>44592</v>
      </c>
      <c r="B3" t="s">
        <v>49</v>
      </c>
      <c r="C3">
        <v>9341</v>
      </c>
      <c r="D3" t="s">
        <v>30</v>
      </c>
      <c r="E3" t="s">
        <v>58</v>
      </c>
    </row>
    <row r="4" spans="1:5" x14ac:dyDescent="0.25">
      <c r="A4" s="6">
        <v>44592</v>
      </c>
      <c r="B4" t="s">
        <v>50</v>
      </c>
      <c r="C4">
        <v>40700</v>
      </c>
      <c r="D4" t="s">
        <v>31</v>
      </c>
      <c r="E4" t="s">
        <v>57</v>
      </c>
    </row>
    <row r="5" spans="1:5" x14ac:dyDescent="0.25">
      <c r="A5" s="6">
        <v>44592</v>
      </c>
      <c r="B5" t="s">
        <v>48</v>
      </c>
      <c r="C5">
        <v>2191</v>
      </c>
      <c r="D5" t="s">
        <v>29</v>
      </c>
      <c r="E5" t="s">
        <v>59</v>
      </c>
    </row>
    <row r="6" spans="1:5" x14ac:dyDescent="0.25">
      <c r="A6" s="6">
        <v>44592</v>
      </c>
      <c r="B6" t="s">
        <v>49</v>
      </c>
      <c r="C6">
        <v>19870</v>
      </c>
      <c r="D6" t="s">
        <v>30</v>
      </c>
      <c r="E6" t="s">
        <v>58</v>
      </c>
    </row>
    <row r="7" spans="1:5" x14ac:dyDescent="0.25">
      <c r="A7" s="6">
        <v>44592</v>
      </c>
      <c r="B7" t="s">
        <v>50</v>
      </c>
      <c r="C7">
        <v>39137</v>
      </c>
      <c r="D7" t="s">
        <v>31</v>
      </c>
      <c r="E7" t="s">
        <v>57</v>
      </c>
    </row>
    <row r="8" spans="1:5" x14ac:dyDescent="0.25">
      <c r="A8" s="6">
        <v>44592</v>
      </c>
      <c r="B8" t="s">
        <v>48</v>
      </c>
      <c r="C8">
        <v>3631</v>
      </c>
      <c r="D8" t="s">
        <v>29</v>
      </c>
      <c r="E8" t="s">
        <v>59</v>
      </c>
    </row>
    <row r="9" spans="1:5" x14ac:dyDescent="0.25">
      <c r="A9" s="6">
        <v>44592</v>
      </c>
      <c r="B9" t="s">
        <v>49</v>
      </c>
      <c r="C9">
        <v>6792</v>
      </c>
      <c r="D9" t="s">
        <v>30</v>
      </c>
      <c r="E9" t="s">
        <v>58</v>
      </c>
    </row>
    <row r="10" spans="1:5" x14ac:dyDescent="0.25">
      <c r="A10" s="6">
        <v>44592</v>
      </c>
      <c r="B10" t="s">
        <v>50</v>
      </c>
      <c r="C10">
        <v>43328</v>
      </c>
      <c r="D10" t="s">
        <v>31</v>
      </c>
      <c r="E10" t="s">
        <v>57</v>
      </c>
    </row>
    <row r="11" spans="1:5" x14ac:dyDescent="0.25">
      <c r="A11" s="6">
        <v>44592</v>
      </c>
      <c r="B11" t="s">
        <v>48</v>
      </c>
      <c r="C11">
        <v>1983</v>
      </c>
      <c r="D11" t="s">
        <v>29</v>
      </c>
      <c r="E11" t="s">
        <v>59</v>
      </c>
    </row>
    <row r="12" spans="1:5" x14ac:dyDescent="0.25">
      <c r="A12" s="6">
        <v>44592</v>
      </c>
      <c r="B12" t="s">
        <v>49</v>
      </c>
      <c r="C12">
        <v>11537</v>
      </c>
      <c r="D12" t="s">
        <v>30</v>
      </c>
      <c r="E12" t="s">
        <v>58</v>
      </c>
    </row>
    <row r="13" spans="1:5" x14ac:dyDescent="0.25">
      <c r="A13" s="6">
        <v>44592</v>
      </c>
      <c r="B13" t="s">
        <v>50</v>
      </c>
      <c r="C13">
        <v>41627</v>
      </c>
      <c r="D13" t="s">
        <v>31</v>
      </c>
      <c r="E13" t="s">
        <v>57</v>
      </c>
    </row>
    <row r="14" spans="1:5" x14ac:dyDescent="0.25">
      <c r="A14" s="6">
        <v>44620</v>
      </c>
      <c r="B14" t="s">
        <v>48</v>
      </c>
      <c r="C14">
        <v>2369</v>
      </c>
      <c r="D14" t="s">
        <v>29</v>
      </c>
      <c r="E14" t="s">
        <v>59</v>
      </c>
    </row>
    <row r="15" spans="1:5" x14ac:dyDescent="0.25">
      <c r="A15" s="6">
        <v>44620</v>
      </c>
      <c r="B15" t="s">
        <v>49</v>
      </c>
      <c r="C15">
        <v>14206</v>
      </c>
      <c r="D15" t="s">
        <v>30</v>
      </c>
      <c r="E15" t="s">
        <v>58</v>
      </c>
    </row>
    <row r="16" spans="1:5" x14ac:dyDescent="0.25">
      <c r="A16" s="6">
        <v>44620</v>
      </c>
      <c r="B16" t="s">
        <v>50</v>
      </c>
      <c r="C16">
        <v>48364</v>
      </c>
      <c r="D16" t="s">
        <v>31</v>
      </c>
      <c r="E16" t="s">
        <v>57</v>
      </c>
    </row>
    <row r="17" spans="1:5" x14ac:dyDescent="0.25">
      <c r="A17" s="6">
        <v>44620</v>
      </c>
      <c r="B17" t="s">
        <v>48</v>
      </c>
      <c r="C17">
        <v>2566</v>
      </c>
      <c r="D17" t="s">
        <v>29</v>
      </c>
      <c r="E17" t="s">
        <v>59</v>
      </c>
    </row>
    <row r="18" spans="1:5" x14ac:dyDescent="0.25">
      <c r="A18" s="6">
        <v>44620</v>
      </c>
      <c r="B18" t="s">
        <v>49</v>
      </c>
      <c r="C18">
        <v>16712</v>
      </c>
      <c r="D18" t="s">
        <v>30</v>
      </c>
      <c r="E18" t="s">
        <v>58</v>
      </c>
    </row>
    <row r="19" spans="1:5" x14ac:dyDescent="0.25">
      <c r="A19" s="6">
        <v>44620</v>
      </c>
      <c r="B19" t="s">
        <v>50</v>
      </c>
      <c r="C19">
        <v>22735</v>
      </c>
      <c r="D19" t="s">
        <v>31</v>
      </c>
      <c r="E19" t="s">
        <v>57</v>
      </c>
    </row>
    <row r="20" spans="1:5" x14ac:dyDescent="0.25">
      <c r="A20" s="6">
        <v>44620</v>
      </c>
      <c r="B20" t="s">
        <v>48</v>
      </c>
      <c r="C20">
        <v>4737</v>
      </c>
      <c r="D20" t="s">
        <v>29</v>
      </c>
      <c r="E20" t="s">
        <v>59</v>
      </c>
    </row>
    <row r="21" spans="1:5" x14ac:dyDescent="0.25">
      <c r="A21" s="6">
        <v>44620</v>
      </c>
      <c r="B21" t="s">
        <v>49</v>
      </c>
      <c r="C21">
        <v>6749</v>
      </c>
      <c r="D21" t="s">
        <v>30</v>
      </c>
      <c r="E21" t="s">
        <v>58</v>
      </c>
    </row>
    <row r="22" spans="1:5" x14ac:dyDescent="0.25">
      <c r="A22" s="6">
        <v>44620</v>
      </c>
      <c r="B22" t="s">
        <v>50</v>
      </c>
      <c r="C22">
        <v>37126</v>
      </c>
      <c r="D22" t="s">
        <v>31</v>
      </c>
      <c r="E22" t="s">
        <v>57</v>
      </c>
    </row>
    <row r="23" spans="1:5" x14ac:dyDescent="0.25">
      <c r="A23" s="6">
        <v>44620</v>
      </c>
      <c r="B23" t="s">
        <v>48</v>
      </c>
      <c r="C23">
        <v>2451</v>
      </c>
      <c r="D23" t="s">
        <v>29</v>
      </c>
      <c r="E23" t="s">
        <v>59</v>
      </c>
    </row>
    <row r="24" spans="1:5" x14ac:dyDescent="0.25">
      <c r="A24" s="6">
        <v>44620</v>
      </c>
      <c r="B24" t="s">
        <v>49</v>
      </c>
      <c r="C24">
        <v>8679</v>
      </c>
      <c r="D24" t="s">
        <v>30</v>
      </c>
      <c r="E24" t="s">
        <v>58</v>
      </c>
    </row>
    <row r="25" spans="1:5" x14ac:dyDescent="0.25">
      <c r="A25" s="6">
        <v>44620</v>
      </c>
      <c r="B25" t="s">
        <v>50</v>
      </c>
      <c r="C25">
        <v>27134</v>
      </c>
      <c r="D25" t="s">
        <v>31</v>
      </c>
      <c r="E25" t="s">
        <v>57</v>
      </c>
    </row>
    <row r="26" spans="1:5" x14ac:dyDescent="0.25">
      <c r="A26" s="6">
        <v>44651</v>
      </c>
      <c r="B26" t="s">
        <v>48</v>
      </c>
      <c r="C26">
        <v>3895</v>
      </c>
      <c r="D26" t="s">
        <v>29</v>
      </c>
      <c r="E26" t="s">
        <v>59</v>
      </c>
    </row>
    <row r="27" spans="1:5" x14ac:dyDescent="0.25">
      <c r="A27" s="6">
        <v>44651</v>
      </c>
      <c r="B27" t="s">
        <v>49</v>
      </c>
      <c r="C27">
        <v>10925</v>
      </c>
      <c r="D27" t="s">
        <v>30</v>
      </c>
      <c r="E27" t="s">
        <v>58</v>
      </c>
    </row>
    <row r="28" spans="1:5" x14ac:dyDescent="0.25">
      <c r="A28" s="6">
        <v>44651</v>
      </c>
      <c r="B28" t="s">
        <v>50</v>
      </c>
      <c r="C28">
        <v>40258</v>
      </c>
      <c r="D28" t="s">
        <v>31</v>
      </c>
      <c r="E28" t="s">
        <v>57</v>
      </c>
    </row>
    <row r="29" spans="1:5" x14ac:dyDescent="0.25">
      <c r="A29" s="6">
        <v>44651</v>
      </c>
      <c r="B29" t="s">
        <v>48</v>
      </c>
      <c r="C29">
        <v>2995</v>
      </c>
      <c r="D29" t="s">
        <v>29</v>
      </c>
      <c r="E29" t="s">
        <v>59</v>
      </c>
    </row>
    <row r="30" spans="1:5" x14ac:dyDescent="0.25">
      <c r="A30" s="6">
        <v>44651</v>
      </c>
      <c r="B30" t="s">
        <v>49</v>
      </c>
      <c r="C30">
        <v>17856</v>
      </c>
      <c r="D30" t="s">
        <v>30</v>
      </c>
      <c r="E30" t="s">
        <v>58</v>
      </c>
    </row>
    <row r="31" spans="1:5" x14ac:dyDescent="0.25">
      <c r="A31" s="6">
        <v>44651</v>
      </c>
      <c r="B31" t="s">
        <v>50</v>
      </c>
      <c r="C31">
        <v>33858</v>
      </c>
      <c r="D31" t="s">
        <v>31</v>
      </c>
      <c r="E31" t="s">
        <v>57</v>
      </c>
    </row>
    <row r="32" spans="1:5" x14ac:dyDescent="0.25">
      <c r="A32" s="6">
        <v>44651</v>
      </c>
      <c r="B32" t="s">
        <v>48</v>
      </c>
      <c r="C32">
        <v>4685</v>
      </c>
      <c r="D32" t="s">
        <v>29</v>
      </c>
      <c r="E32" t="s">
        <v>59</v>
      </c>
    </row>
    <row r="33" spans="1:5" x14ac:dyDescent="0.25">
      <c r="A33" s="6">
        <v>44651</v>
      </c>
      <c r="B33" t="s">
        <v>49</v>
      </c>
      <c r="C33">
        <v>16633</v>
      </c>
      <c r="D33" t="s">
        <v>30</v>
      </c>
      <c r="E33" t="s">
        <v>58</v>
      </c>
    </row>
    <row r="34" spans="1:5" x14ac:dyDescent="0.25">
      <c r="A34" s="6">
        <v>44651</v>
      </c>
      <c r="B34" t="s">
        <v>50</v>
      </c>
      <c r="C34">
        <v>39794</v>
      </c>
      <c r="D34" t="s">
        <v>31</v>
      </c>
      <c r="E34" t="s">
        <v>57</v>
      </c>
    </row>
    <row r="35" spans="1:5" x14ac:dyDescent="0.25">
      <c r="A35" s="6">
        <v>44651</v>
      </c>
      <c r="B35" t="s">
        <v>48</v>
      </c>
      <c r="C35">
        <v>3728</v>
      </c>
      <c r="D35" t="s">
        <v>29</v>
      </c>
      <c r="E35" t="s">
        <v>59</v>
      </c>
    </row>
    <row r="36" spans="1:5" x14ac:dyDescent="0.25">
      <c r="A36" s="6">
        <v>44651</v>
      </c>
      <c r="B36" t="s">
        <v>49</v>
      </c>
      <c r="C36">
        <v>10479</v>
      </c>
      <c r="D36" t="s">
        <v>30</v>
      </c>
      <c r="E36" t="s">
        <v>58</v>
      </c>
    </row>
    <row r="37" spans="1:5" x14ac:dyDescent="0.25">
      <c r="A37" s="6">
        <v>44651</v>
      </c>
      <c r="B37" t="s">
        <v>50</v>
      </c>
      <c r="C37">
        <v>44225</v>
      </c>
      <c r="D37" t="s">
        <v>31</v>
      </c>
      <c r="E37" t="s">
        <v>57</v>
      </c>
    </row>
    <row r="38" spans="1:5" x14ac:dyDescent="0.25">
      <c r="A38" s="6">
        <v>44681</v>
      </c>
      <c r="B38" t="s">
        <v>48</v>
      </c>
      <c r="C38">
        <v>3928</v>
      </c>
      <c r="D38" t="s">
        <v>29</v>
      </c>
      <c r="E38" t="s">
        <v>59</v>
      </c>
    </row>
    <row r="39" spans="1:5" x14ac:dyDescent="0.25">
      <c r="A39" s="6">
        <v>44681</v>
      </c>
      <c r="B39" t="s">
        <v>49</v>
      </c>
      <c r="C39">
        <v>18239</v>
      </c>
      <c r="D39" t="s">
        <v>30</v>
      </c>
      <c r="E39" t="s">
        <v>58</v>
      </c>
    </row>
    <row r="40" spans="1:5" x14ac:dyDescent="0.25">
      <c r="A40" s="6">
        <v>44681</v>
      </c>
      <c r="B40" t="s">
        <v>50</v>
      </c>
      <c r="C40">
        <v>24957</v>
      </c>
      <c r="D40" t="s">
        <v>31</v>
      </c>
      <c r="E40" t="s">
        <v>57</v>
      </c>
    </row>
    <row r="41" spans="1:5" x14ac:dyDescent="0.25">
      <c r="A41" s="6">
        <v>44681</v>
      </c>
      <c r="B41" t="s">
        <v>48</v>
      </c>
      <c r="C41">
        <v>2606</v>
      </c>
      <c r="D41" t="s">
        <v>29</v>
      </c>
      <c r="E41" t="s">
        <v>59</v>
      </c>
    </row>
    <row r="42" spans="1:5" x14ac:dyDescent="0.25">
      <c r="A42" s="6">
        <v>44681</v>
      </c>
      <c r="B42" t="s">
        <v>49</v>
      </c>
      <c r="C42">
        <v>15343</v>
      </c>
      <c r="D42" t="s">
        <v>30</v>
      </c>
      <c r="E42" t="s">
        <v>58</v>
      </c>
    </row>
    <row r="43" spans="1:5" x14ac:dyDescent="0.25">
      <c r="A43" s="6">
        <v>44681</v>
      </c>
      <c r="B43" t="s">
        <v>50</v>
      </c>
      <c r="C43">
        <v>41762</v>
      </c>
      <c r="D43" t="s">
        <v>31</v>
      </c>
      <c r="E43" t="s">
        <v>57</v>
      </c>
    </row>
    <row r="44" spans="1:5" x14ac:dyDescent="0.25">
      <c r="A44" s="6">
        <v>44681</v>
      </c>
      <c r="B44" t="s">
        <v>48</v>
      </c>
      <c r="C44">
        <v>1331</v>
      </c>
      <c r="D44" t="s">
        <v>29</v>
      </c>
      <c r="E44" t="s">
        <v>59</v>
      </c>
    </row>
    <row r="45" spans="1:5" x14ac:dyDescent="0.25">
      <c r="A45" s="6">
        <v>44681</v>
      </c>
      <c r="B45" t="s">
        <v>49</v>
      </c>
      <c r="C45">
        <v>11690</v>
      </c>
      <c r="D45" t="s">
        <v>30</v>
      </c>
      <c r="E45" t="s">
        <v>58</v>
      </c>
    </row>
    <row r="46" spans="1:5" x14ac:dyDescent="0.25">
      <c r="A46" s="6">
        <v>44681</v>
      </c>
      <c r="B46" t="s">
        <v>50</v>
      </c>
      <c r="C46">
        <v>26035</v>
      </c>
      <c r="D46" t="s">
        <v>31</v>
      </c>
      <c r="E46" t="s">
        <v>57</v>
      </c>
    </row>
    <row r="47" spans="1:5" x14ac:dyDescent="0.25">
      <c r="A47" s="6">
        <v>44681</v>
      </c>
      <c r="B47" t="s">
        <v>48</v>
      </c>
      <c r="C47">
        <v>2225</v>
      </c>
      <c r="D47" t="s">
        <v>29</v>
      </c>
      <c r="E47" t="s">
        <v>59</v>
      </c>
    </row>
    <row r="48" spans="1:5" x14ac:dyDescent="0.25">
      <c r="A48" s="6">
        <v>44681</v>
      </c>
      <c r="B48" t="s">
        <v>49</v>
      </c>
      <c r="C48">
        <v>17309</v>
      </c>
      <c r="D48" t="s">
        <v>30</v>
      </c>
      <c r="E48" t="s">
        <v>58</v>
      </c>
    </row>
    <row r="49" spans="1:5" x14ac:dyDescent="0.25">
      <c r="A49" s="6">
        <v>44681</v>
      </c>
      <c r="B49" t="s">
        <v>50</v>
      </c>
      <c r="C49">
        <v>44322</v>
      </c>
      <c r="D49" t="s">
        <v>31</v>
      </c>
      <c r="E49" t="s">
        <v>57</v>
      </c>
    </row>
    <row r="50" spans="1:5" x14ac:dyDescent="0.25">
      <c r="A50" s="6">
        <v>44712</v>
      </c>
      <c r="B50" t="s">
        <v>48</v>
      </c>
      <c r="C50">
        <v>4030</v>
      </c>
      <c r="D50" t="s">
        <v>29</v>
      </c>
      <c r="E50" t="s">
        <v>59</v>
      </c>
    </row>
    <row r="51" spans="1:5" x14ac:dyDescent="0.25">
      <c r="A51" s="6">
        <v>44712</v>
      </c>
      <c r="B51" t="s">
        <v>49</v>
      </c>
      <c r="C51">
        <v>15927</v>
      </c>
      <c r="D51" t="s">
        <v>30</v>
      </c>
      <c r="E51" t="s">
        <v>58</v>
      </c>
    </row>
    <row r="52" spans="1:5" x14ac:dyDescent="0.25">
      <c r="A52" s="6">
        <v>44712</v>
      </c>
      <c r="B52" t="s">
        <v>50</v>
      </c>
      <c r="C52">
        <v>43730</v>
      </c>
      <c r="D52" t="s">
        <v>31</v>
      </c>
      <c r="E52" t="s">
        <v>57</v>
      </c>
    </row>
    <row r="53" spans="1:5" x14ac:dyDescent="0.25">
      <c r="A53" s="6">
        <v>44712</v>
      </c>
      <c r="B53" t="s">
        <v>48</v>
      </c>
      <c r="C53">
        <v>911</v>
      </c>
      <c r="D53" t="s">
        <v>29</v>
      </c>
      <c r="E53" t="s">
        <v>59</v>
      </c>
    </row>
    <row r="54" spans="1:5" x14ac:dyDescent="0.25">
      <c r="A54" s="6">
        <v>44712</v>
      </c>
      <c r="B54" t="s">
        <v>49</v>
      </c>
      <c r="C54">
        <v>7061</v>
      </c>
      <c r="D54" t="s">
        <v>30</v>
      </c>
      <c r="E54" t="s">
        <v>58</v>
      </c>
    </row>
    <row r="55" spans="1:5" x14ac:dyDescent="0.25">
      <c r="A55" s="6">
        <v>44712</v>
      </c>
      <c r="B55" t="s">
        <v>50</v>
      </c>
      <c r="C55">
        <v>27128</v>
      </c>
      <c r="D55" t="s">
        <v>31</v>
      </c>
      <c r="E55" t="s">
        <v>57</v>
      </c>
    </row>
    <row r="56" spans="1:5" x14ac:dyDescent="0.25">
      <c r="A56" s="6">
        <v>44712</v>
      </c>
      <c r="B56" t="s">
        <v>48</v>
      </c>
      <c r="C56">
        <v>2210</v>
      </c>
      <c r="D56" t="s">
        <v>29</v>
      </c>
      <c r="E56" t="s">
        <v>59</v>
      </c>
    </row>
    <row r="57" spans="1:5" x14ac:dyDescent="0.25">
      <c r="A57" s="6">
        <v>44712</v>
      </c>
      <c r="B57" t="s">
        <v>49</v>
      </c>
      <c r="C57">
        <v>16579</v>
      </c>
      <c r="D57" t="s">
        <v>30</v>
      </c>
      <c r="E57" t="s">
        <v>58</v>
      </c>
    </row>
    <row r="58" spans="1:5" x14ac:dyDescent="0.25">
      <c r="A58" s="6">
        <v>44712</v>
      </c>
      <c r="B58" t="s">
        <v>50</v>
      </c>
      <c r="C58">
        <v>46730</v>
      </c>
      <c r="D58" t="s">
        <v>31</v>
      </c>
      <c r="E58" t="s">
        <v>57</v>
      </c>
    </row>
    <row r="59" spans="1:5" x14ac:dyDescent="0.25">
      <c r="A59" s="6">
        <v>44712</v>
      </c>
      <c r="B59" t="s">
        <v>48</v>
      </c>
      <c r="C59">
        <v>4847</v>
      </c>
      <c r="D59" t="s">
        <v>29</v>
      </c>
      <c r="E59" t="s">
        <v>59</v>
      </c>
    </row>
    <row r="60" spans="1:5" x14ac:dyDescent="0.25">
      <c r="A60" s="6">
        <v>44712</v>
      </c>
      <c r="B60" t="s">
        <v>49</v>
      </c>
      <c r="C60">
        <v>10328</v>
      </c>
      <c r="D60" t="s">
        <v>30</v>
      </c>
      <c r="E60" t="s">
        <v>58</v>
      </c>
    </row>
    <row r="61" spans="1:5" x14ac:dyDescent="0.25">
      <c r="A61" s="6">
        <v>44712</v>
      </c>
      <c r="B61" t="s">
        <v>50</v>
      </c>
      <c r="C61">
        <v>34930</v>
      </c>
      <c r="D61" t="s">
        <v>31</v>
      </c>
      <c r="E61" t="s">
        <v>57</v>
      </c>
    </row>
    <row r="62" spans="1:5" x14ac:dyDescent="0.25">
      <c r="A62" s="6">
        <v>44742</v>
      </c>
      <c r="B62" t="s">
        <v>48</v>
      </c>
      <c r="C62">
        <v>2710</v>
      </c>
      <c r="D62" t="s">
        <v>29</v>
      </c>
      <c r="E62" t="s">
        <v>59</v>
      </c>
    </row>
    <row r="63" spans="1:5" x14ac:dyDescent="0.25">
      <c r="A63" s="6">
        <v>44742</v>
      </c>
      <c r="B63" t="s">
        <v>49</v>
      </c>
      <c r="C63">
        <v>18488</v>
      </c>
      <c r="D63" t="s">
        <v>30</v>
      </c>
      <c r="E63" t="s">
        <v>58</v>
      </c>
    </row>
    <row r="64" spans="1:5" x14ac:dyDescent="0.25">
      <c r="A64" s="6">
        <v>44742</v>
      </c>
      <c r="B64" t="s">
        <v>50</v>
      </c>
      <c r="C64">
        <v>45179</v>
      </c>
      <c r="D64" t="s">
        <v>31</v>
      </c>
      <c r="E64" t="s">
        <v>57</v>
      </c>
    </row>
    <row r="65" spans="1:5" x14ac:dyDescent="0.25">
      <c r="A65" s="6">
        <v>44742</v>
      </c>
      <c r="B65" t="s">
        <v>48</v>
      </c>
      <c r="C65">
        <v>897</v>
      </c>
      <c r="D65" t="s">
        <v>29</v>
      </c>
      <c r="E65" t="s">
        <v>59</v>
      </c>
    </row>
    <row r="66" spans="1:5" x14ac:dyDescent="0.25">
      <c r="A66" s="6">
        <v>44742</v>
      </c>
      <c r="B66" t="s">
        <v>49</v>
      </c>
      <c r="C66">
        <v>9948</v>
      </c>
      <c r="D66" t="s">
        <v>30</v>
      </c>
      <c r="E66" t="s">
        <v>58</v>
      </c>
    </row>
    <row r="67" spans="1:5" x14ac:dyDescent="0.25">
      <c r="A67" s="6">
        <v>44742</v>
      </c>
      <c r="B67" t="s">
        <v>50</v>
      </c>
      <c r="C67">
        <v>39818</v>
      </c>
      <c r="D67" t="s">
        <v>31</v>
      </c>
      <c r="E67" t="s">
        <v>57</v>
      </c>
    </row>
    <row r="68" spans="1:5" x14ac:dyDescent="0.25">
      <c r="A68" s="6">
        <v>44742</v>
      </c>
      <c r="B68" t="s">
        <v>48</v>
      </c>
      <c r="C68">
        <v>2004</v>
      </c>
      <c r="D68" t="s">
        <v>29</v>
      </c>
      <c r="E68" t="s">
        <v>59</v>
      </c>
    </row>
    <row r="69" spans="1:5" x14ac:dyDescent="0.25">
      <c r="A69" s="6">
        <v>44742</v>
      </c>
      <c r="B69" t="s">
        <v>49</v>
      </c>
      <c r="C69">
        <v>18852</v>
      </c>
      <c r="D69" t="s">
        <v>30</v>
      </c>
      <c r="E69" t="s">
        <v>58</v>
      </c>
    </row>
    <row r="70" spans="1:5" x14ac:dyDescent="0.25">
      <c r="A70" s="6">
        <v>44742</v>
      </c>
      <c r="B70" t="s">
        <v>50</v>
      </c>
      <c r="C70">
        <v>24427</v>
      </c>
      <c r="D70" t="s">
        <v>31</v>
      </c>
      <c r="E70" t="s">
        <v>57</v>
      </c>
    </row>
    <row r="71" spans="1:5" x14ac:dyDescent="0.25">
      <c r="A71" s="6">
        <v>44742</v>
      </c>
      <c r="B71" t="s">
        <v>48</v>
      </c>
      <c r="C71">
        <v>1034</v>
      </c>
      <c r="D71" t="s">
        <v>29</v>
      </c>
      <c r="E71" t="s">
        <v>59</v>
      </c>
    </row>
    <row r="72" spans="1:5" x14ac:dyDescent="0.25">
      <c r="A72" s="6">
        <v>44742</v>
      </c>
      <c r="B72" t="s">
        <v>49</v>
      </c>
      <c r="C72">
        <v>13788</v>
      </c>
      <c r="D72" t="s">
        <v>30</v>
      </c>
      <c r="E72" t="s">
        <v>58</v>
      </c>
    </row>
    <row r="73" spans="1:5" x14ac:dyDescent="0.25">
      <c r="A73" s="6">
        <v>44742</v>
      </c>
      <c r="B73" t="s">
        <v>50</v>
      </c>
      <c r="C73">
        <v>33487</v>
      </c>
      <c r="D73" t="s">
        <v>31</v>
      </c>
      <c r="E73" t="s">
        <v>57</v>
      </c>
    </row>
    <row r="74" spans="1:5" x14ac:dyDescent="0.25">
      <c r="A74" s="6">
        <v>44773</v>
      </c>
      <c r="B74" t="s">
        <v>48</v>
      </c>
      <c r="C74">
        <v>1111</v>
      </c>
      <c r="D74" t="s">
        <v>29</v>
      </c>
      <c r="E74" t="s">
        <v>59</v>
      </c>
    </row>
    <row r="75" spans="1:5" x14ac:dyDescent="0.25">
      <c r="A75" s="6">
        <v>44773</v>
      </c>
      <c r="B75" t="s">
        <v>49</v>
      </c>
      <c r="C75">
        <v>6801</v>
      </c>
      <c r="D75" t="s">
        <v>30</v>
      </c>
      <c r="E75" t="s">
        <v>58</v>
      </c>
    </row>
    <row r="76" spans="1:5" x14ac:dyDescent="0.25">
      <c r="A76" s="6">
        <v>44773</v>
      </c>
      <c r="B76" t="s">
        <v>50</v>
      </c>
      <c r="C76">
        <v>22550</v>
      </c>
      <c r="D76" t="s">
        <v>31</v>
      </c>
      <c r="E76" t="s">
        <v>57</v>
      </c>
    </row>
    <row r="77" spans="1:5" x14ac:dyDescent="0.25">
      <c r="A77" s="6">
        <v>44773</v>
      </c>
      <c r="B77" t="s">
        <v>48</v>
      </c>
      <c r="C77">
        <v>2316</v>
      </c>
      <c r="D77" t="s">
        <v>29</v>
      </c>
      <c r="E77" t="s">
        <v>59</v>
      </c>
    </row>
    <row r="78" spans="1:5" x14ac:dyDescent="0.25">
      <c r="A78" s="6">
        <v>44773</v>
      </c>
      <c r="B78" t="s">
        <v>49</v>
      </c>
      <c r="C78">
        <v>15223</v>
      </c>
      <c r="D78" t="s">
        <v>30</v>
      </c>
      <c r="E78" t="s">
        <v>58</v>
      </c>
    </row>
    <row r="79" spans="1:5" x14ac:dyDescent="0.25">
      <c r="A79" s="6">
        <v>44773</v>
      </c>
      <c r="B79" t="s">
        <v>50</v>
      </c>
      <c r="C79">
        <v>37289</v>
      </c>
      <c r="D79" t="s">
        <v>31</v>
      </c>
      <c r="E79" t="s">
        <v>57</v>
      </c>
    </row>
    <row r="80" spans="1:5" x14ac:dyDescent="0.25">
      <c r="A80" s="6">
        <v>44773</v>
      </c>
      <c r="B80" t="s">
        <v>48</v>
      </c>
      <c r="C80">
        <v>786</v>
      </c>
      <c r="D80" t="s">
        <v>29</v>
      </c>
      <c r="E80" t="s">
        <v>59</v>
      </c>
    </row>
    <row r="81" spans="1:5" x14ac:dyDescent="0.25">
      <c r="A81" s="6">
        <v>44773</v>
      </c>
      <c r="B81" t="s">
        <v>49</v>
      </c>
      <c r="C81">
        <v>5119</v>
      </c>
      <c r="D81" t="s">
        <v>30</v>
      </c>
      <c r="E81" t="s">
        <v>58</v>
      </c>
    </row>
    <row r="82" spans="1:5" x14ac:dyDescent="0.25">
      <c r="A82" s="6">
        <v>44773</v>
      </c>
      <c r="B82" t="s">
        <v>50</v>
      </c>
      <c r="C82">
        <v>25975</v>
      </c>
      <c r="D82" t="s">
        <v>31</v>
      </c>
      <c r="E82" t="s">
        <v>57</v>
      </c>
    </row>
    <row r="83" spans="1:5" x14ac:dyDescent="0.25">
      <c r="A83" s="6">
        <v>44773</v>
      </c>
      <c r="B83" t="s">
        <v>48</v>
      </c>
      <c r="C83">
        <v>4474</v>
      </c>
      <c r="D83" t="s">
        <v>29</v>
      </c>
      <c r="E83" t="s">
        <v>59</v>
      </c>
    </row>
    <row r="84" spans="1:5" x14ac:dyDescent="0.25">
      <c r="A84" s="6">
        <v>44773</v>
      </c>
      <c r="B84" t="s">
        <v>49</v>
      </c>
      <c r="C84">
        <v>19871</v>
      </c>
      <c r="D84" t="s">
        <v>30</v>
      </c>
      <c r="E84" t="s">
        <v>58</v>
      </c>
    </row>
    <row r="85" spans="1:5" x14ac:dyDescent="0.25">
      <c r="A85" s="6">
        <v>44773</v>
      </c>
      <c r="B85" t="s">
        <v>50</v>
      </c>
      <c r="C85">
        <v>21303</v>
      </c>
      <c r="D85" t="s">
        <v>31</v>
      </c>
      <c r="E85" t="s">
        <v>57</v>
      </c>
    </row>
    <row r="86" spans="1:5" x14ac:dyDescent="0.25">
      <c r="A86" s="6">
        <v>44804</v>
      </c>
      <c r="B86" t="s">
        <v>48</v>
      </c>
      <c r="C86">
        <v>603</v>
      </c>
      <c r="D86" t="s">
        <v>29</v>
      </c>
      <c r="E86" t="s">
        <v>59</v>
      </c>
    </row>
    <row r="87" spans="1:5" x14ac:dyDescent="0.25">
      <c r="A87" s="6">
        <v>44804</v>
      </c>
      <c r="B87" t="s">
        <v>49</v>
      </c>
      <c r="C87">
        <v>18752</v>
      </c>
      <c r="D87" t="s">
        <v>30</v>
      </c>
      <c r="E87" t="s">
        <v>58</v>
      </c>
    </row>
    <row r="88" spans="1:5" x14ac:dyDescent="0.25">
      <c r="A88" s="6">
        <v>44804</v>
      </c>
      <c r="B88" t="s">
        <v>50</v>
      </c>
      <c r="C88">
        <v>23566</v>
      </c>
      <c r="D88" t="s">
        <v>31</v>
      </c>
      <c r="E88" t="s">
        <v>57</v>
      </c>
    </row>
    <row r="89" spans="1:5" x14ac:dyDescent="0.25">
      <c r="A89" s="6">
        <v>44804</v>
      </c>
      <c r="B89" t="s">
        <v>48</v>
      </c>
      <c r="C89">
        <v>2534</v>
      </c>
      <c r="D89" t="s">
        <v>29</v>
      </c>
      <c r="E89" t="s">
        <v>59</v>
      </c>
    </row>
    <row r="90" spans="1:5" x14ac:dyDescent="0.25">
      <c r="A90" s="6">
        <v>44804</v>
      </c>
      <c r="B90" t="s">
        <v>49</v>
      </c>
      <c r="C90">
        <v>11546</v>
      </c>
      <c r="D90" t="s">
        <v>30</v>
      </c>
      <c r="E90" t="s">
        <v>58</v>
      </c>
    </row>
    <row r="91" spans="1:5" x14ac:dyDescent="0.25">
      <c r="A91" s="6">
        <v>44804</v>
      </c>
      <c r="B91" t="s">
        <v>50</v>
      </c>
      <c r="C91">
        <v>47808</v>
      </c>
      <c r="D91" t="s">
        <v>31</v>
      </c>
      <c r="E91" t="s">
        <v>57</v>
      </c>
    </row>
    <row r="92" spans="1:5" x14ac:dyDescent="0.25">
      <c r="A92" s="6">
        <v>44804</v>
      </c>
      <c r="B92" t="s">
        <v>48</v>
      </c>
      <c r="C92">
        <v>4709</v>
      </c>
      <c r="D92" t="s">
        <v>29</v>
      </c>
      <c r="E92" t="s">
        <v>59</v>
      </c>
    </row>
    <row r="93" spans="1:5" x14ac:dyDescent="0.25">
      <c r="A93" s="6">
        <v>44804</v>
      </c>
      <c r="B93" t="s">
        <v>49</v>
      </c>
      <c r="C93">
        <v>12474</v>
      </c>
      <c r="D93" t="s">
        <v>30</v>
      </c>
      <c r="E93" t="s">
        <v>58</v>
      </c>
    </row>
    <row r="94" spans="1:5" x14ac:dyDescent="0.25">
      <c r="A94" s="6">
        <v>44804</v>
      </c>
      <c r="B94" t="s">
        <v>50</v>
      </c>
      <c r="C94">
        <v>37827</v>
      </c>
      <c r="D94" t="s">
        <v>31</v>
      </c>
      <c r="E94" t="s">
        <v>57</v>
      </c>
    </row>
    <row r="95" spans="1:5" x14ac:dyDescent="0.25">
      <c r="A95" s="6">
        <v>44804</v>
      </c>
      <c r="B95" t="s">
        <v>48</v>
      </c>
      <c r="C95">
        <v>3536</v>
      </c>
      <c r="D95" t="s">
        <v>29</v>
      </c>
      <c r="E95" t="s">
        <v>59</v>
      </c>
    </row>
    <row r="96" spans="1:5" x14ac:dyDescent="0.25">
      <c r="A96" s="6">
        <v>44804</v>
      </c>
      <c r="B96" t="s">
        <v>49</v>
      </c>
      <c r="C96">
        <v>13557</v>
      </c>
      <c r="D96" t="s">
        <v>30</v>
      </c>
      <c r="E96" t="s">
        <v>58</v>
      </c>
    </row>
    <row r="97" spans="1:5" x14ac:dyDescent="0.25">
      <c r="A97" s="6">
        <v>44804</v>
      </c>
      <c r="B97" t="s">
        <v>50</v>
      </c>
      <c r="C97">
        <v>48242</v>
      </c>
      <c r="D97" t="s">
        <v>31</v>
      </c>
      <c r="E97" t="s">
        <v>57</v>
      </c>
    </row>
    <row r="98" spans="1:5" x14ac:dyDescent="0.25">
      <c r="A98" s="6">
        <v>44834</v>
      </c>
      <c r="B98" t="s">
        <v>48</v>
      </c>
      <c r="C98">
        <v>2380</v>
      </c>
      <c r="D98" t="s">
        <v>29</v>
      </c>
      <c r="E98" t="s">
        <v>59</v>
      </c>
    </row>
    <row r="99" spans="1:5" x14ac:dyDescent="0.25">
      <c r="A99" s="6">
        <v>44834</v>
      </c>
      <c r="B99" t="s">
        <v>49</v>
      </c>
      <c r="C99">
        <v>9011</v>
      </c>
      <c r="D99" t="s">
        <v>30</v>
      </c>
      <c r="E99" t="s">
        <v>58</v>
      </c>
    </row>
    <row r="100" spans="1:5" x14ac:dyDescent="0.25">
      <c r="A100" s="6">
        <v>44834</v>
      </c>
      <c r="B100" t="s">
        <v>50</v>
      </c>
      <c r="C100">
        <v>26157</v>
      </c>
      <c r="D100" t="s">
        <v>31</v>
      </c>
      <c r="E100" t="s">
        <v>57</v>
      </c>
    </row>
    <row r="101" spans="1:5" x14ac:dyDescent="0.25">
      <c r="A101" s="6">
        <v>44834</v>
      </c>
      <c r="B101" t="s">
        <v>48</v>
      </c>
      <c r="C101">
        <v>1471</v>
      </c>
      <c r="D101" t="s">
        <v>29</v>
      </c>
      <c r="E101" t="s">
        <v>59</v>
      </c>
    </row>
    <row r="102" spans="1:5" x14ac:dyDescent="0.25">
      <c r="A102" s="6">
        <v>44834</v>
      </c>
      <c r="B102" t="s">
        <v>49</v>
      </c>
      <c r="C102">
        <v>9112</v>
      </c>
      <c r="D102" t="s">
        <v>30</v>
      </c>
      <c r="E102" t="s">
        <v>58</v>
      </c>
    </row>
    <row r="103" spans="1:5" x14ac:dyDescent="0.25">
      <c r="A103" s="6">
        <v>44834</v>
      </c>
      <c r="B103" t="s">
        <v>50</v>
      </c>
      <c r="C103">
        <v>28889</v>
      </c>
      <c r="D103" t="s">
        <v>31</v>
      </c>
      <c r="E103" t="s">
        <v>57</v>
      </c>
    </row>
    <row r="104" spans="1:5" x14ac:dyDescent="0.25">
      <c r="A104" s="6">
        <v>44834</v>
      </c>
      <c r="B104" t="s">
        <v>48</v>
      </c>
      <c r="C104">
        <v>3598</v>
      </c>
      <c r="D104" t="s">
        <v>29</v>
      </c>
      <c r="E104" t="s">
        <v>59</v>
      </c>
    </row>
    <row r="105" spans="1:5" x14ac:dyDescent="0.25">
      <c r="A105" s="6">
        <v>44834</v>
      </c>
      <c r="B105" t="s">
        <v>49</v>
      </c>
      <c r="C105">
        <v>13818</v>
      </c>
      <c r="D105" t="s">
        <v>30</v>
      </c>
      <c r="E105" t="s">
        <v>58</v>
      </c>
    </row>
    <row r="106" spans="1:5" x14ac:dyDescent="0.25">
      <c r="A106" s="6">
        <v>44834</v>
      </c>
      <c r="B106" t="s">
        <v>50</v>
      </c>
      <c r="C106">
        <v>35846</v>
      </c>
      <c r="D106" t="s">
        <v>31</v>
      </c>
      <c r="E106" t="s">
        <v>57</v>
      </c>
    </row>
    <row r="107" spans="1:5" x14ac:dyDescent="0.25">
      <c r="A107" s="6">
        <v>44834</v>
      </c>
      <c r="B107" t="s">
        <v>48</v>
      </c>
      <c r="C107">
        <v>4567</v>
      </c>
      <c r="D107" t="s">
        <v>29</v>
      </c>
      <c r="E107" t="s">
        <v>59</v>
      </c>
    </row>
    <row r="108" spans="1:5" x14ac:dyDescent="0.25">
      <c r="A108" s="6">
        <v>44834</v>
      </c>
      <c r="B108" t="s">
        <v>49</v>
      </c>
      <c r="C108">
        <v>19075</v>
      </c>
      <c r="D108" t="s">
        <v>30</v>
      </c>
      <c r="E108" t="s">
        <v>58</v>
      </c>
    </row>
    <row r="109" spans="1:5" x14ac:dyDescent="0.25">
      <c r="A109" s="6">
        <v>44834</v>
      </c>
      <c r="B109" t="s">
        <v>50</v>
      </c>
      <c r="C109">
        <v>47971</v>
      </c>
      <c r="D109" t="s">
        <v>31</v>
      </c>
      <c r="E109" t="s">
        <v>57</v>
      </c>
    </row>
    <row r="110" spans="1:5" x14ac:dyDescent="0.25">
      <c r="A110" s="6">
        <v>44865</v>
      </c>
      <c r="B110" t="s">
        <v>48</v>
      </c>
      <c r="C110">
        <v>636</v>
      </c>
      <c r="D110" t="s">
        <v>29</v>
      </c>
      <c r="E110" t="s">
        <v>59</v>
      </c>
    </row>
    <row r="111" spans="1:5" x14ac:dyDescent="0.25">
      <c r="A111" s="6">
        <v>44865</v>
      </c>
      <c r="B111" t="s">
        <v>49</v>
      </c>
      <c r="C111">
        <v>6472</v>
      </c>
      <c r="D111" t="s">
        <v>30</v>
      </c>
      <c r="E111" t="s">
        <v>58</v>
      </c>
    </row>
    <row r="112" spans="1:5" x14ac:dyDescent="0.25">
      <c r="A112" s="6">
        <v>44865</v>
      </c>
      <c r="B112" t="s">
        <v>50</v>
      </c>
      <c r="C112">
        <v>30646</v>
      </c>
      <c r="D112" t="s">
        <v>31</v>
      </c>
      <c r="E112" t="s">
        <v>57</v>
      </c>
    </row>
    <row r="113" spans="1:5" x14ac:dyDescent="0.25">
      <c r="A113" s="6">
        <v>44865</v>
      </c>
      <c r="B113" t="s">
        <v>48</v>
      </c>
      <c r="C113">
        <v>745</v>
      </c>
      <c r="D113" t="s">
        <v>29</v>
      </c>
      <c r="E113" t="s">
        <v>59</v>
      </c>
    </row>
    <row r="114" spans="1:5" x14ac:dyDescent="0.25">
      <c r="A114" s="6">
        <v>44865</v>
      </c>
      <c r="B114" t="s">
        <v>49</v>
      </c>
      <c r="C114">
        <v>16966</v>
      </c>
      <c r="D114" t="s">
        <v>30</v>
      </c>
      <c r="E114" t="s">
        <v>58</v>
      </c>
    </row>
    <row r="115" spans="1:5" x14ac:dyDescent="0.25">
      <c r="A115" s="6">
        <v>44865</v>
      </c>
      <c r="B115" t="s">
        <v>50</v>
      </c>
      <c r="C115">
        <v>25920</v>
      </c>
      <c r="D115" t="s">
        <v>31</v>
      </c>
      <c r="E115" t="s">
        <v>57</v>
      </c>
    </row>
    <row r="116" spans="1:5" x14ac:dyDescent="0.25">
      <c r="A116" s="6">
        <v>44865</v>
      </c>
      <c r="B116" t="s">
        <v>48</v>
      </c>
      <c r="C116">
        <v>2587</v>
      </c>
      <c r="D116" t="s">
        <v>29</v>
      </c>
      <c r="E116" t="s">
        <v>59</v>
      </c>
    </row>
    <row r="117" spans="1:5" x14ac:dyDescent="0.25">
      <c r="A117" s="6">
        <v>44865</v>
      </c>
      <c r="B117" t="s">
        <v>49</v>
      </c>
      <c r="C117">
        <v>10212</v>
      </c>
      <c r="D117" t="s">
        <v>30</v>
      </c>
      <c r="E117" t="s">
        <v>58</v>
      </c>
    </row>
    <row r="118" spans="1:5" x14ac:dyDescent="0.25">
      <c r="A118" s="6">
        <v>44865</v>
      </c>
      <c r="B118" t="s">
        <v>50</v>
      </c>
      <c r="C118">
        <v>36400</v>
      </c>
      <c r="D118" t="s">
        <v>31</v>
      </c>
      <c r="E118" t="s">
        <v>57</v>
      </c>
    </row>
    <row r="119" spans="1:5" x14ac:dyDescent="0.25">
      <c r="A119" s="6">
        <v>44865</v>
      </c>
      <c r="B119" t="s">
        <v>48</v>
      </c>
      <c r="C119">
        <v>3824</v>
      </c>
      <c r="D119" t="s">
        <v>29</v>
      </c>
      <c r="E119" t="s">
        <v>59</v>
      </c>
    </row>
    <row r="120" spans="1:5" x14ac:dyDescent="0.25">
      <c r="A120" s="6">
        <v>44865</v>
      </c>
      <c r="B120" t="s">
        <v>49</v>
      </c>
      <c r="C120">
        <v>8695</v>
      </c>
      <c r="D120" t="s">
        <v>30</v>
      </c>
      <c r="E120" t="s">
        <v>58</v>
      </c>
    </row>
    <row r="121" spans="1:5" x14ac:dyDescent="0.25">
      <c r="A121" s="6">
        <v>44865</v>
      </c>
      <c r="B121" t="s">
        <v>50</v>
      </c>
      <c r="C121">
        <v>40649</v>
      </c>
      <c r="D121" t="s">
        <v>31</v>
      </c>
      <c r="E121" t="s">
        <v>57</v>
      </c>
    </row>
    <row r="122" spans="1:5" x14ac:dyDescent="0.25">
      <c r="A122" s="6">
        <v>44895</v>
      </c>
      <c r="B122" t="s">
        <v>48</v>
      </c>
      <c r="C122">
        <v>1804</v>
      </c>
      <c r="D122" t="s">
        <v>29</v>
      </c>
      <c r="E122" t="s">
        <v>59</v>
      </c>
    </row>
    <row r="123" spans="1:5" x14ac:dyDescent="0.25">
      <c r="A123" s="6">
        <v>44895</v>
      </c>
      <c r="B123" t="s">
        <v>49</v>
      </c>
      <c r="C123">
        <v>14281</v>
      </c>
      <c r="D123" t="s">
        <v>30</v>
      </c>
      <c r="E123" t="s">
        <v>58</v>
      </c>
    </row>
    <row r="124" spans="1:5" x14ac:dyDescent="0.25">
      <c r="A124" s="6">
        <v>44895</v>
      </c>
      <c r="B124" t="s">
        <v>50</v>
      </c>
      <c r="C124">
        <v>28757</v>
      </c>
      <c r="D124" t="s">
        <v>31</v>
      </c>
      <c r="E124" t="s">
        <v>57</v>
      </c>
    </row>
    <row r="125" spans="1:5" x14ac:dyDescent="0.25">
      <c r="A125" s="6">
        <v>44895</v>
      </c>
      <c r="B125" t="s">
        <v>48</v>
      </c>
      <c r="C125">
        <v>414</v>
      </c>
      <c r="D125" t="s">
        <v>29</v>
      </c>
      <c r="E125" t="s">
        <v>59</v>
      </c>
    </row>
    <row r="126" spans="1:5" x14ac:dyDescent="0.25">
      <c r="A126" s="6">
        <v>44895</v>
      </c>
      <c r="B126" t="s">
        <v>49</v>
      </c>
      <c r="C126">
        <v>8869</v>
      </c>
      <c r="D126" t="s">
        <v>30</v>
      </c>
      <c r="E126" t="s">
        <v>58</v>
      </c>
    </row>
    <row r="127" spans="1:5" x14ac:dyDescent="0.25">
      <c r="A127" s="6">
        <v>44895</v>
      </c>
      <c r="B127" t="s">
        <v>50</v>
      </c>
      <c r="C127">
        <v>44551</v>
      </c>
      <c r="D127" t="s">
        <v>31</v>
      </c>
      <c r="E127" t="s">
        <v>57</v>
      </c>
    </row>
    <row r="128" spans="1:5" x14ac:dyDescent="0.25">
      <c r="A128" s="6">
        <v>44895</v>
      </c>
      <c r="B128" t="s">
        <v>48</v>
      </c>
      <c r="C128">
        <v>3060</v>
      </c>
      <c r="D128" t="s">
        <v>29</v>
      </c>
      <c r="E128" t="s">
        <v>59</v>
      </c>
    </row>
    <row r="129" spans="1:5" x14ac:dyDescent="0.25">
      <c r="A129" s="6">
        <v>44895</v>
      </c>
      <c r="B129" t="s">
        <v>49</v>
      </c>
      <c r="C129">
        <v>18775</v>
      </c>
      <c r="D129" t="s">
        <v>30</v>
      </c>
      <c r="E129" t="s">
        <v>58</v>
      </c>
    </row>
    <row r="130" spans="1:5" x14ac:dyDescent="0.25">
      <c r="A130" s="6">
        <v>44895</v>
      </c>
      <c r="B130" t="s">
        <v>50</v>
      </c>
      <c r="C130">
        <v>40850</v>
      </c>
      <c r="D130" t="s">
        <v>31</v>
      </c>
      <c r="E130" t="s">
        <v>57</v>
      </c>
    </row>
    <row r="131" spans="1:5" x14ac:dyDescent="0.25">
      <c r="A131" s="6">
        <v>44895</v>
      </c>
      <c r="B131" t="s">
        <v>48</v>
      </c>
      <c r="C131">
        <v>3401</v>
      </c>
      <c r="D131" t="s">
        <v>29</v>
      </c>
      <c r="E131" t="s">
        <v>59</v>
      </c>
    </row>
    <row r="132" spans="1:5" x14ac:dyDescent="0.25">
      <c r="A132" s="6">
        <v>44895</v>
      </c>
      <c r="B132" t="s">
        <v>49</v>
      </c>
      <c r="C132">
        <v>11270</v>
      </c>
      <c r="D132" t="s">
        <v>30</v>
      </c>
      <c r="E132" t="s">
        <v>58</v>
      </c>
    </row>
    <row r="133" spans="1:5" x14ac:dyDescent="0.25">
      <c r="A133" s="6">
        <v>44895</v>
      </c>
      <c r="B133" t="s">
        <v>50</v>
      </c>
      <c r="C133">
        <v>43477</v>
      </c>
      <c r="D133" t="s">
        <v>31</v>
      </c>
      <c r="E133" t="s">
        <v>57</v>
      </c>
    </row>
    <row r="134" spans="1:5" x14ac:dyDescent="0.25">
      <c r="A134" s="6">
        <v>44926</v>
      </c>
      <c r="B134" t="s">
        <v>48</v>
      </c>
      <c r="C134">
        <v>3384</v>
      </c>
      <c r="D134" t="s">
        <v>29</v>
      </c>
      <c r="E134" t="s">
        <v>59</v>
      </c>
    </row>
    <row r="135" spans="1:5" x14ac:dyDescent="0.25">
      <c r="A135" s="6">
        <v>44926</v>
      </c>
      <c r="B135" t="s">
        <v>49</v>
      </c>
      <c r="C135">
        <v>15555</v>
      </c>
      <c r="D135" t="s">
        <v>30</v>
      </c>
      <c r="E135" t="s">
        <v>58</v>
      </c>
    </row>
    <row r="136" spans="1:5" x14ac:dyDescent="0.25">
      <c r="A136" s="6">
        <v>44926</v>
      </c>
      <c r="B136" t="s">
        <v>50</v>
      </c>
      <c r="C136">
        <v>20562</v>
      </c>
      <c r="D136" t="s">
        <v>31</v>
      </c>
      <c r="E136" t="s">
        <v>57</v>
      </c>
    </row>
    <row r="137" spans="1:5" x14ac:dyDescent="0.25">
      <c r="A137" s="6">
        <v>44926</v>
      </c>
      <c r="B137" t="s">
        <v>48</v>
      </c>
      <c r="C137">
        <v>1471</v>
      </c>
      <c r="D137" t="s">
        <v>29</v>
      </c>
      <c r="E137" t="s">
        <v>59</v>
      </c>
    </row>
    <row r="138" spans="1:5" x14ac:dyDescent="0.25">
      <c r="A138" s="6">
        <v>44926</v>
      </c>
      <c r="B138" t="s">
        <v>49</v>
      </c>
      <c r="C138">
        <v>7896</v>
      </c>
      <c r="D138" t="s">
        <v>30</v>
      </c>
      <c r="E138" t="s">
        <v>58</v>
      </c>
    </row>
    <row r="139" spans="1:5" x14ac:dyDescent="0.25">
      <c r="A139" s="6">
        <v>44926</v>
      </c>
      <c r="B139" t="s">
        <v>50</v>
      </c>
      <c r="C139">
        <v>48592</v>
      </c>
      <c r="D139" t="s">
        <v>31</v>
      </c>
      <c r="E139" t="s">
        <v>57</v>
      </c>
    </row>
    <row r="140" spans="1:5" x14ac:dyDescent="0.25">
      <c r="A140" s="6">
        <v>44926</v>
      </c>
      <c r="B140" t="s">
        <v>48</v>
      </c>
      <c r="C140">
        <v>4604</v>
      </c>
      <c r="D140" t="s">
        <v>29</v>
      </c>
      <c r="E140" t="s">
        <v>59</v>
      </c>
    </row>
    <row r="141" spans="1:5" x14ac:dyDescent="0.25">
      <c r="A141" s="6">
        <v>44926</v>
      </c>
      <c r="B141" t="s">
        <v>49</v>
      </c>
      <c r="C141">
        <v>5656</v>
      </c>
      <c r="D141" t="s">
        <v>30</v>
      </c>
      <c r="E141" t="s">
        <v>58</v>
      </c>
    </row>
    <row r="142" spans="1:5" x14ac:dyDescent="0.25">
      <c r="A142" s="6">
        <v>44926</v>
      </c>
      <c r="B142" t="s">
        <v>50</v>
      </c>
      <c r="C142">
        <v>45923</v>
      </c>
      <c r="D142" t="s">
        <v>31</v>
      </c>
      <c r="E142" t="s">
        <v>57</v>
      </c>
    </row>
    <row r="143" spans="1:5" x14ac:dyDescent="0.25">
      <c r="A143" s="6">
        <v>44926</v>
      </c>
      <c r="B143" t="s">
        <v>48</v>
      </c>
      <c r="C143">
        <v>3964</v>
      </c>
      <c r="D143" t="s">
        <v>29</v>
      </c>
      <c r="E143" t="s">
        <v>59</v>
      </c>
    </row>
    <row r="144" spans="1:5" x14ac:dyDescent="0.25">
      <c r="A144" s="6">
        <v>44926</v>
      </c>
      <c r="B144" t="s">
        <v>49</v>
      </c>
      <c r="C144">
        <v>5388</v>
      </c>
      <c r="D144" t="s">
        <v>30</v>
      </c>
      <c r="E144" t="s">
        <v>58</v>
      </c>
    </row>
    <row r="145" spans="1:5" x14ac:dyDescent="0.25">
      <c r="A145" s="6">
        <v>44926</v>
      </c>
      <c r="B145" t="s">
        <v>50</v>
      </c>
      <c r="C145">
        <v>40185</v>
      </c>
      <c r="D145" t="s">
        <v>31</v>
      </c>
      <c r="E145" t="s">
        <v>57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03ECF-2556-4955-A7CF-5994D3EA85C0}">
  <sheetPr codeName="Sheet10"/>
  <dimension ref="A1:E145"/>
  <sheetViews>
    <sheetView zoomScaleNormal="100" workbookViewId="0"/>
  </sheetViews>
  <sheetFormatPr defaultRowHeight="15" x14ac:dyDescent="0.25"/>
  <cols>
    <col min="1" max="1" width="10.42578125" bestFit="1" customWidth="1"/>
    <col min="2" max="2" width="7.42578125" bestFit="1" customWidth="1"/>
    <col min="3" max="3" width="6" bestFit="1" customWidth="1"/>
    <col min="4" max="4" width="9.7109375" bestFit="1" customWidth="1"/>
    <col min="5" max="5" width="12" bestFit="1" customWidth="1"/>
  </cols>
  <sheetData>
    <row r="1" spans="1:5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</row>
    <row r="2" spans="1:5" x14ac:dyDescent="0.25">
      <c r="A2" s="6">
        <v>44592</v>
      </c>
      <c r="B2" t="s">
        <v>48</v>
      </c>
      <c r="C2">
        <v>4536</v>
      </c>
      <c r="D2" t="s">
        <v>29</v>
      </c>
      <c r="E2" t="s">
        <v>59</v>
      </c>
    </row>
    <row r="3" spans="1:5" x14ac:dyDescent="0.25">
      <c r="A3" s="6">
        <v>44592</v>
      </c>
      <c r="B3" t="s">
        <v>49</v>
      </c>
      <c r="C3">
        <v>9341</v>
      </c>
      <c r="D3" t="s">
        <v>30</v>
      </c>
      <c r="E3" t="s">
        <v>58</v>
      </c>
    </row>
    <row r="4" spans="1:5" x14ac:dyDescent="0.25">
      <c r="A4" s="6">
        <v>44592</v>
      </c>
      <c r="B4" t="s">
        <v>50</v>
      </c>
      <c r="C4">
        <v>40700</v>
      </c>
      <c r="D4" t="s">
        <v>31</v>
      </c>
      <c r="E4" t="s">
        <v>57</v>
      </c>
    </row>
    <row r="5" spans="1:5" x14ac:dyDescent="0.25">
      <c r="A5" s="6">
        <v>44592</v>
      </c>
      <c r="B5" t="s">
        <v>48</v>
      </c>
      <c r="C5">
        <v>2191</v>
      </c>
      <c r="D5" t="s">
        <v>29</v>
      </c>
      <c r="E5" t="s">
        <v>59</v>
      </c>
    </row>
    <row r="6" spans="1:5" x14ac:dyDescent="0.25">
      <c r="A6" s="6">
        <v>44592</v>
      </c>
      <c r="B6" t="s">
        <v>49</v>
      </c>
      <c r="C6">
        <v>19870</v>
      </c>
      <c r="D6" t="s">
        <v>30</v>
      </c>
      <c r="E6" t="s">
        <v>58</v>
      </c>
    </row>
    <row r="7" spans="1:5" x14ac:dyDescent="0.25">
      <c r="A7" s="6">
        <v>44592</v>
      </c>
      <c r="B7" t="s">
        <v>50</v>
      </c>
      <c r="C7">
        <v>39137</v>
      </c>
      <c r="D7" t="s">
        <v>31</v>
      </c>
      <c r="E7" t="s">
        <v>57</v>
      </c>
    </row>
    <row r="8" spans="1:5" x14ac:dyDescent="0.25">
      <c r="A8" s="6">
        <v>44592</v>
      </c>
      <c r="B8" t="s">
        <v>48</v>
      </c>
      <c r="C8">
        <v>3631</v>
      </c>
      <c r="D8" t="s">
        <v>29</v>
      </c>
      <c r="E8" t="s">
        <v>59</v>
      </c>
    </row>
    <row r="9" spans="1:5" x14ac:dyDescent="0.25">
      <c r="A9" s="6">
        <v>44592</v>
      </c>
      <c r="B9" t="s">
        <v>49</v>
      </c>
      <c r="C9">
        <v>6792</v>
      </c>
      <c r="D9" t="s">
        <v>30</v>
      </c>
      <c r="E9" t="s">
        <v>58</v>
      </c>
    </row>
    <row r="10" spans="1:5" x14ac:dyDescent="0.25">
      <c r="A10" s="6">
        <v>44592</v>
      </c>
      <c r="B10" t="s">
        <v>50</v>
      </c>
      <c r="C10">
        <v>43328</v>
      </c>
      <c r="D10" t="s">
        <v>31</v>
      </c>
      <c r="E10" t="s">
        <v>57</v>
      </c>
    </row>
    <row r="11" spans="1:5" x14ac:dyDescent="0.25">
      <c r="A11" s="6">
        <v>44592</v>
      </c>
      <c r="B11" t="s">
        <v>48</v>
      </c>
      <c r="C11">
        <v>1983</v>
      </c>
      <c r="D11" t="s">
        <v>29</v>
      </c>
      <c r="E11" t="s">
        <v>59</v>
      </c>
    </row>
    <row r="12" spans="1:5" x14ac:dyDescent="0.25">
      <c r="A12" s="6">
        <v>44592</v>
      </c>
      <c r="B12" t="s">
        <v>49</v>
      </c>
      <c r="C12">
        <v>11537</v>
      </c>
      <c r="D12" t="s">
        <v>30</v>
      </c>
      <c r="E12" t="s">
        <v>58</v>
      </c>
    </row>
    <row r="13" spans="1:5" x14ac:dyDescent="0.25">
      <c r="A13" s="6">
        <v>44592</v>
      </c>
      <c r="B13" t="s">
        <v>50</v>
      </c>
      <c r="C13">
        <v>41627</v>
      </c>
      <c r="D13" t="s">
        <v>31</v>
      </c>
      <c r="E13" t="s">
        <v>57</v>
      </c>
    </row>
    <row r="14" spans="1:5" x14ac:dyDescent="0.25">
      <c r="A14" s="6">
        <v>44620</v>
      </c>
      <c r="B14" t="s">
        <v>48</v>
      </c>
      <c r="C14">
        <v>2369</v>
      </c>
      <c r="D14" t="s">
        <v>29</v>
      </c>
      <c r="E14" t="s">
        <v>59</v>
      </c>
    </row>
    <row r="15" spans="1:5" x14ac:dyDescent="0.25">
      <c r="A15" s="6">
        <v>44620</v>
      </c>
      <c r="B15" t="s">
        <v>49</v>
      </c>
      <c r="C15">
        <v>14206</v>
      </c>
      <c r="D15" t="s">
        <v>30</v>
      </c>
      <c r="E15" t="s">
        <v>58</v>
      </c>
    </row>
    <row r="16" spans="1:5" x14ac:dyDescent="0.25">
      <c r="A16" s="6">
        <v>44620</v>
      </c>
      <c r="B16" t="s">
        <v>50</v>
      </c>
      <c r="C16">
        <v>48364</v>
      </c>
      <c r="D16" t="s">
        <v>31</v>
      </c>
      <c r="E16" t="s">
        <v>57</v>
      </c>
    </row>
    <row r="17" spans="1:5" x14ac:dyDescent="0.25">
      <c r="A17" s="6">
        <v>44620</v>
      </c>
      <c r="B17" t="s">
        <v>48</v>
      </c>
      <c r="C17">
        <v>2566</v>
      </c>
      <c r="D17" t="s">
        <v>29</v>
      </c>
      <c r="E17" t="s">
        <v>59</v>
      </c>
    </row>
    <row r="18" spans="1:5" x14ac:dyDescent="0.25">
      <c r="A18" s="6">
        <v>44620</v>
      </c>
      <c r="B18" t="s">
        <v>49</v>
      </c>
      <c r="C18">
        <v>16712</v>
      </c>
      <c r="D18" t="s">
        <v>30</v>
      </c>
      <c r="E18" t="s">
        <v>58</v>
      </c>
    </row>
    <row r="19" spans="1:5" x14ac:dyDescent="0.25">
      <c r="A19" s="6">
        <v>44620</v>
      </c>
      <c r="B19" t="s">
        <v>50</v>
      </c>
      <c r="C19">
        <v>22735</v>
      </c>
      <c r="D19" t="s">
        <v>31</v>
      </c>
      <c r="E19" t="s">
        <v>57</v>
      </c>
    </row>
    <row r="20" spans="1:5" x14ac:dyDescent="0.25">
      <c r="A20" s="6">
        <v>44620</v>
      </c>
      <c r="B20" t="s">
        <v>48</v>
      </c>
      <c r="C20">
        <v>4737</v>
      </c>
      <c r="D20" t="s">
        <v>29</v>
      </c>
      <c r="E20" t="s">
        <v>59</v>
      </c>
    </row>
    <row r="21" spans="1:5" x14ac:dyDescent="0.25">
      <c r="A21" s="6">
        <v>44620</v>
      </c>
      <c r="B21" t="s">
        <v>49</v>
      </c>
      <c r="C21">
        <v>6749</v>
      </c>
      <c r="D21" t="s">
        <v>30</v>
      </c>
      <c r="E21" t="s">
        <v>58</v>
      </c>
    </row>
    <row r="22" spans="1:5" x14ac:dyDescent="0.25">
      <c r="A22" s="6">
        <v>44620</v>
      </c>
      <c r="B22" t="s">
        <v>50</v>
      </c>
      <c r="C22">
        <v>37126</v>
      </c>
      <c r="D22" t="s">
        <v>31</v>
      </c>
      <c r="E22" t="s">
        <v>57</v>
      </c>
    </row>
    <row r="23" spans="1:5" x14ac:dyDescent="0.25">
      <c r="A23" s="6">
        <v>44620</v>
      </c>
      <c r="B23" t="s">
        <v>48</v>
      </c>
      <c r="C23">
        <v>2451</v>
      </c>
      <c r="D23" t="s">
        <v>29</v>
      </c>
      <c r="E23" t="s">
        <v>59</v>
      </c>
    </row>
    <row r="24" spans="1:5" x14ac:dyDescent="0.25">
      <c r="A24" s="6">
        <v>44620</v>
      </c>
      <c r="B24" t="s">
        <v>49</v>
      </c>
      <c r="C24">
        <v>8679</v>
      </c>
      <c r="D24" t="s">
        <v>30</v>
      </c>
      <c r="E24" t="s">
        <v>58</v>
      </c>
    </row>
    <row r="25" spans="1:5" x14ac:dyDescent="0.25">
      <c r="A25" s="6">
        <v>44620</v>
      </c>
      <c r="B25" t="s">
        <v>50</v>
      </c>
      <c r="C25">
        <v>27134</v>
      </c>
      <c r="D25" t="s">
        <v>31</v>
      </c>
      <c r="E25" t="s">
        <v>57</v>
      </c>
    </row>
    <row r="26" spans="1:5" x14ac:dyDescent="0.25">
      <c r="A26" s="6">
        <v>44651</v>
      </c>
      <c r="B26" t="s">
        <v>48</v>
      </c>
      <c r="C26">
        <v>3895</v>
      </c>
      <c r="D26" t="s">
        <v>29</v>
      </c>
      <c r="E26" t="s">
        <v>59</v>
      </c>
    </row>
    <row r="27" spans="1:5" x14ac:dyDescent="0.25">
      <c r="A27" s="6">
        <v>44651</v>
      </c>
      <c r="B27" t="s">
        <v>49</v>
      </c>
      <c r="C27">
        <v>10925</v>
      </c>
      <c r="D27" t="s">
        <v>30</v>
      </c>
      <c r="E27" t="s">
        <v>58</v>
      </c>
    </row>
    <row r="28" spans="1:5" x14ac:dyDescent="0.25">
      <c r="A28" s="6">
        <v>44651</v>
      </c>
      <c r="B28" t="s">
        <v>50</v>
      </c>
      <c r="C28">
        <v>40258</v>
      </c>
      <c r="D28" t="s">
        <v>31</v>
      </c>
      <c r="E28" t="s">
        <v>57</v>
      </c>
    </row>
    <row r="29" spans="1:5" x14ac:dyDescent="0.25">
      <c r="A29" s="6">
        <v>44651</v>
      </c>
      <c r="B29" t="s">
        <v>48</v>
      </c>
      <c r="C29">
        <v>2995</v>
      </c>
      <c r="D29" t="s">
        <v>29</v>
      </c>
      <c r="E29" t="s">
        <v>59</v>
      </c>
    </row>
    <row r="30" spans="1:5" x14ac:dyDescent="0.25">
      <c r="A30" s="6">
        <v>44651</v>
      </c>
      <c r="B30" t="s">
        <v>49</v>
      </c>
      <c r="C30">
        <v>17856</v>
      </c>
      <c r="D30" t="s">
        <v>30</v>
      </c>
      <c r="E30" t="s">
        <v>58</v>
      </c>
    </row>
    <row r="31" spans="1:5" x14ac:dyDescent="0.25">
      <c r="A31" s="6">
        <v>44651</v>
      </c>
      <c r="B31" t="s">
        <v>50</v>
      </c>
      <c r="C31">
        <v>33858</v>
      </c>
      <c r="D31" t="s">
        <v>31</v>
      </c>
      <c r="E31" t="s">
        <v>57</v>
      </c>
    </row>
    <row r="32" spans="1:5" x14ac:dyDescent="0.25">
      <c r="A32" s="6">
        <v>44651</v>
      </c>
      <c r="B32" t="s">
        <v>48</v>
      </c>
      <c r="C32">
        <v>4685</v>
      </c>
      <c r="D32" t="s">
        <v>29</v>
      </c>
      <c r="E32" t="s">
        <v>59</v>
      </c>
    </row>
    <row r="33" spans="1:5" x14ac:dyDescent="0.25">
      <c r="A33" s="6">
        <v>44651</v>
      </c>
      <c r="B33" t="s">
        <v>49</v>
      </c>
      <c r="C33">
        <v>16633</v>
      </c>
      <c r="D33" t="s">
        <v>30</v>
      </c>
      <c r="E33" t="s">
        <v>58</v>
      </c>
    </row>
    <row r="34" spans="1:5" x14ac:dyDescent="0.25">
      <c r="A34" s="6">
        <v>44651</v>
      </c>
      <c r="B34" t="s">
        <v>50</v>
      </c>
      <c r="C34">
        <v>39794</v>
      </c>
      <c r="D34" t="s">
        <v>31</v>
      </c>
      <c r="E34" t="s">
        <v>57</v>
      </c>
    </row>
    <row r="35" spans="1:5" x14ac:dyDescent="0.25">
      <c r="A35" s="6">
        <v>44651</v>
      </c>
      <c r="B35" t="s">
        <v>48</v>
      </c>
      <c r="C35">
        <v>3728</v>
      </c>
      <c r="D35" t="s">
        <v>29</v>
      </c>
      <c r="E35" t="s">
        <v>59</v>
      </c>
    </row>
    <row r="36" spans="1:5" x14ac:dyDescent="0.25">
      <c r="A36" s="6">
        <v>44651</v>
      </c>
      <c r="B36" t="s">
        <v>49</v>
      </c>
      <c r="C36">
        <v>10479</v>
      </c>
      <c r="D36" t="s">
        <v>30</v>
      </c>
      <c r="E36" t="s">
        <v>58</v>
      </c>
    </row>
    <row r="37" spans="1:5" x14ac:dyDescent="0.25">
      <c r="A37" s="6">
        <v>44651</v>
      </c>
      <c r="B37" t="s">
        <v>50</v>
      </c>
      <c r="C37">
        <v>44225</v>
      </c>
      <c r="D37" t="s">
        <v>31</v>
      </c>
      <c r="E37" t="s">
        <v>57</v>
      </c>
    </row>
    <row r="38" spans="1:5" x14ac:dyDescent="0.25">
      <c r="A38" s="6">
        <v>44681</v>
      </c>
      <c r="B38" t="s">
        <v>48</v>
      </c>
      <c r="C38">
        <v>3928</v>
      </c>
      <c r="D38" t="s">
        <v>29</v>
      </c>
      <c r="E38" t="s">
        <v>59</v>
      </c>
    </row>
    <row r="39" spans="1:5" x14ac:dyDescent="0.25">
      <c r="A39" s="6">
        <v>44681</v>
      </c>
      <c r="B39" t="s">
        <v>49</v>
      </c>
      <c r="C39">
        <v>18239</v>
      </c>
      <c r="D39" t="s">
        <v>30</v>
      </c>
      <c r="E39" t="s">
        <v>58</v>
      </c>
    </row>
    <row r="40" spans="1:5" x14ac:dyDescent="0.25">
      <c r="A40" s="6">
        <v>44681</v>
      </c>
      <c r="B40" t="s">
        <v>50</v>
      </c>
      <c r="C40">
        <v>24957</v>
      </c>
      <c r="D40" t="s">
        <v>31</v>
      </c>
      <c r="E40" t="s">
        <v>57</v>
      </c>
    </row>
    <row r="41" spans="1:5" x14ac:dyDescent="0.25">
      <c r="A41" s="6">
        <v>44681</v>
      </c>
      <c r="B41" t="s">
        <v>48</v>
      </c>
      <c r="C41">
        <v>2606</v>
      </c>
      <c r="D41" t="s">
        <v>29</v>
      </c>
      <c r="E41" t="s">
        <v>59</v>
      </c>
    </row>
    <row r="42" spans="1:5" x14ac:dyDescent="0.25">
      <c r="A42" s="6">
        <v>44681</v>
      </c>
      <c r="B42" t="s">
        <v>49</v>
      </c>
      <c r="C42">
        <v>15343</v>
      </c>
      <c r="D42" t="s">
        <v>30</v>
      </c>
      <c r="E42" t="s">
        <v>58</v>
      </c>
    </row>
    <row r="43" spans="1:5" x14ac:dyDescent="0.25">
      <c r="A43" s="6">
        <v>44681</v>
      </c>
      <c r="B43" t="s">
        <v>50</v>
      </c>
      <c r="C43">
        <v>41762</v>
      </c>
      <c r="D43" t="s">
        <v>31</v>
      </c>
      <c r="E43" t="s">
        <v>57</v>
      </c>
    </row>
    <row r="44" spans="1:5" x14ac:dyDescent="0.25">
      <c r="A44" s="6">
        <v>44681</v>
      </c>
      <c r="B44" t="s">
        <v>48</v>
      </c>
      <c r="C44">
        <v>1331</v>
      </c>
      <c r="D44" t="s">
        <v>29</v>
      </c>
      <c r="E44" t="s">
        <v>59</v>
      </c>
    </row>
    <row r="45" spans="1:5" x14ac:dyDescent="0.25">
      <c r="A45" s="6">
        <v>44681</v>
      </c>
      <c r="B45" t="s">
        <v>49</v>
      </c>
      <c r="C45">
        <v>11690</v>
      </c>
      <c r="D45" t="s">
        <v>30</v>
      </c>
      <c r="E45" t="s">
        <v>58</v>
      </c>
    </row>
    <row r="46" spans="1:5" x14ac:dyDescent="0.25">
      <c r="A46" s="6">
        <v>44681</v>
      </c>
      <c r="B46" t="s">
        <v>50</v>
      </c>
      <c r="C46">
        <v>26035</v>
      </c>
      <c r="D46" t="s">
        <v>31</v>
      </c>
      <c r="E46" t="s">
        <v>57</v>
      </c>
    </row>
    <row r="47" spans="1:5" x14ac:dyDescent="0.25">
      <c r="A47" s="6">
        <v>44681</v>
      </c>
      <c r="B47" t="s">
        <v>48</v>
      </c>
      <c r="C47">
        <v>2225</v>
      </c>
      <c r="D47" t="s">
        <v>29</v>
      </c>
      <c r="E47" t="s">
        <v>59</v>
      </c>
    </row>
    <row r="48" spans="1:5" x14ac:dyDescent="0.25">
      <c r="A48" s="6">
        <v>44681</v>
      </c>
      <c r="B48" t="s">
        <v>49</v>
      </c>
      <c r="C48">
        <v>17309</v>
      </c>
      <c r="D48" t="s">
        <v>30</v>
      </c>
      <c r="E48" t="s">
        <v>58</v>
      </c>
    </row>
    <row r="49" spans="1:5" x14ac:dyDescent="0.25">
      <c r="A49" s="6">
        <v>44681</v>
      </c>
      <c r="B49" t="s">
        <v>50</v>
      </c>
      <c r="C49">
        <v>44322</v>
      </c>
      <c r="D49" t="s">
        <v>31</v>
      </c>
      <c r="E49" t="s">
        <v>57</v>
      </c>
    </row>
    <row r="50" spans="1:5" x14ac:dyDescent="0.25">
      <c r="A50" s="6">
        <v>44712</v>
      </c>
      <c r="B50" t="s">
        <v>48</v>
      </c>
      <c r="C50">
        <v>4030</v>
      </c>
      <c r="D50" t="s">
        <v>29</v>
      </c>
      <c r="E50" t="s">
        <v>59</v>
      </c>
    </row>
    <row r="51" spans="1:5" x14ac:dyDescent="0.25">
      <c r="A51" s="6">
        <v>44712</v>
      </c>
      <c r="B51" t="s">
        <v>49</v>
      </c>
      <c r="C51">
        <v>15927</v>
      </c>
      <c r="D51" t="s">
        <v>30</v>
      </c>
      <c r="E51" t="s">
        <v>58</v>
      </c>
    </row>
    <row r="52" spans="1:5" x14ac:dyDescent="0.25">
      <c r="A52" s="6">
        <v>44712</v>
      </c>
      <c r="B52" t="s">
        <v>50</v>
      </c>
      <c r="C52">
        <v>43730</v>
      </c>
      <c r="D52" t="s">
        <v>31</v>
      </c>
      <c r="E52" t="s">
        <v>57</v>
      </c>
    </row>
    <row r="53" spans="1:5" x14ac:dyDescent="0.25">
      <c r="A53" s="6">
        <v>44712</v>
      </c>
      <c r="B53" t="s">
        <v>48</v>
      </c>
      <c r="C53">
        <v>911</v>
      </c>
      <c r="D53" t="s">
        <v>29</v>
      </c>
      <c r="E53" t="s">
        <v>59</v>
      </c>
    </row>
    <row r="54" spans="1:5" x14ac:dyDescent="0.25">
      <c r="A54" s="6">
        <v>44712</v>
      </c>
      <c r="B54" t="s">
        <v>49</v>
      </c>
      <c r="C54">
        <v>7061</v>
      </c>
      <c r="D54" t="s">
        <v>30</v>
      </c>
      <c r="E54" t="s">
        <v>58</v>
      </c>
    </row>
    <row r="55" spans="1:5" x14ac:dyDescent="0.25">
      <c r="A55" s="6">
        <v>44712</v>
      </c>
      <c r="B55" t="s">
        <v>50</v>
      </c>
      <c r="C55">
        <v>27128</v>
      </c>
      <c r="D55" t="s">
        <v>31</v>
      </c>
      <c r="E55" t="s">
        <v>57</v>
      </c>
    </row>
    <row r="56" spans="1:5" x14ac:dyDescent="0.25">
      <c r="A56" s="6">
        <v>44712</v>
      </c>
      <c r="B56" t="s">
        <v>48</v>
      </c>
      <c r="C56">
        <v>2210</v>
      </c>
      <c r="D56" t="s">
        <v>29</v>
      </c>
      <c r="E56" t="s">
        <v>59</v>
      </c>
    </row>
    <row r="57" spans="1:5" x14ac:dyDescent="0.25">
      <c r="A57" s="6">
        <v>44712</v>
      </c>
      <c r="B57" t="s">
        <v>49</v>
      </c>
      <c r="C57">
        <v>16579</v>
      </c>
      <c r="D57" t="s">
        <v>30</v>
      </c>
      <c r="E57" t="s">
        <v>58</v>
      </c>
    </row>
    <row r="58" spans="1:5" x14ac:dyDescent="0.25">
      <c r="A58" s="6">
        <v>44712</v>
      </c>
      <c r="B58" t="s">
        <v>50</v>
      </c>
      <c r="C58">
        <v>46730</v>
      </c>
      <c r="D58" t="s">
        <v>31</v>
      </c>
      <c r="E58" t="s">
        <v>57</v>
      </c>
    </row>
    <row r="59" spans="1:5" x14ac:dyDescent="0.25">
      <c r="A59" s="6">
        <v>44712</v>
      </c>
      <c r="B59" t="s">
        <v>48</v>
      </c>
      <c r="C59">
        <v>4847</v>
      </c>
      <c r="D59" t="s">
        <v>29</v>
      </c>
      <c r="E59" t="s">
        <v>59</v>
      </c>
    </row>
    <row r="60" spans="1:5" x14ac:dyDescent="0.25">
      <c r="A60" s="6">
        <v>44712</v>
      </c>
      <c r="B60" t="s">
        <v>49</v>
      </c>
      <c r="C60">
        <v>10328</v>
      </c>
      <c r="D60" t="s">
        <v>30</v>
      </c>
      <c r="E60" t="s">
        <v>58</v>
      </c>
    </row>
    <row r="61" spans="1:5" x14ac:dyDescent="0.25">
      <c r="A61" s="6">
        <v>44712</v>
      </c>
      <c r="B61" t="s">
        <v>50</v>
      </c>
      <c r="C61">
        <v>34930</v>
      </c>
      <c r="D61" t="s">
        <v>31</v>
      </c>
      <c r="E61" t="s">
        <v>57</v>
      </c>
    </row>
    <row r="62" spans="1:5" x14ac:dyDescent="0.25">
      <c r="A62" s="6">
        <v>44742</v>
      </c>
      <c r="B62" t="s">
        <v>48</v>
      </c>
      <c r="C62">
        <v>2710</v>
      </c>
      <c r="D62" t="s">
        <v>29</v>
      </c>
      <c r="E62" t="s">
        <v>59</v>
      </c>
    </row>
    <row r="63" spans="1:5" x14ac:dyDescent="0.25">
      <c r="A63" s="6">
        <v>44742</v>
      </c>
      <c r="B63" t="s">
        <v>49</v>
      </c>
      <c r="C63">
        <v>18488</v>
      </c>
      <c r="D63" t="s">
        <v>30</v>
      </c>
      <c r="E63" t="s">
        <v>58</v>
      </c>
    </row>
    <row r="64" spans="1:5" x14ac:dyDescent="0.25">
      <c r="A64" s="6">
        <v>44742</v>
      </c>
      <c r="B64" t="s">
        <v>50</v>
      </c>
      <c r="C64">
        <v>45179</v>
      </c>
      <c r="D64" t="s">
        <v>31</v>
      </c>
      <c r="E64" t="s">
        <v>57</v>
      </c>
    </row>
    <row r="65" spans="1:5" x14ac:dyDescent="0.25">
      <c r="A65" s="6">
        <v>44742</v>
      </c>
      <c r="B65" t="s">
        <v>48</v>
      </c>
      <c r="C65">
        <v>897</v>
      </c>
      <c r="D65" t="s">
        <v>29</v>
      </c>
      <c r="E65" t="s">
        <v>59</v>
      </c>
    </row>
    <row r="66" spans="1:5" x14ac:dyDescent="0.25">
      <c r="A66" s="6">
        <v>44742</v>
      </c>
      <c r="B66" t="s">
        <v>49</v>
      </c>
      <c r="C66">
        <v>9948</v>
      </c>
      <c r="D66" t="s">
        <v>30</v>
      </c>
      <c r="E66" t="s">
        <v>58</v>
      </c>
    </row>
    <row r="67" spans="1:5" x14ac:dyDescent="0.25">
      <c r="A67" s="6">
        <v>44742</v>
      </c>
      <c r="B67" t="s">
        <v>50</v>
      </c>
      <c r="C67">
        <v>39818</v>
      </c>
      <c r="D67" t="s">
        <v>31</v>
      </c>
      <c r="E67" t="s">
        <v>57</v>
      </c>
    </row>
    <row r="68" spans="1:5" x14ac:dyDescent="0.25">
      <c r="A68" s="6">
        <v>44742</v>
      </c>
      <c r="B68" t="s">
        <v>48</v>
      </c>
      <c r="C68">
        <v>2004</v>
      </c>
      <c r="D68" t="s">
        <v>29</v>
      </c>
      <c r="E68" t="s">
        <v>59</v>
      </c>
    </row>
    <row r="69" spans="1:5" x14ac:dyDescent="0.25">
      <c r="A69" s="6">
        <v>44742</v>
      </c>
      <c r="B69" t="s">
        <v>49</v>
      </c>
      <c r="C69">
        <v>18852</v>
      </c>
      <c r="D69" t="s">
        <v>30</v>
      </c>
      <c r="E69" t="s">
        <v>58</v>
      </c>
    </row>
    <row r="70" spans="1:5" x14ac:dyDescent="0.25">
      <c r="A70" s="6">
        <v>44742</v>
      </c>
      <c r="B70" t="s">
        <v>50</v>
      </c>
      <c r="C70">
        <v>24427</v>
      </c>
      <c r="D70" t="s">
        <v>31</v>
      </c>
      <c r="E70" t="s">
        <v>57</v>
      </c>
    </row>
    <row r="71" spans="1:5" x14ac:dyDescent="0.25">
      <c r="A71" s="6">
        <v>44742</v>
      </c>
      <c r="B71" t="s">
        <v>48</v>
      </c>
      <c r="C71">
        <v>1034</v>
      </c>
      <c r="D71" t="s">
        <v>29</v>
      </c>
      <c r="E71" t="s">
        <v>59</v>
      </c>
    </row>
    <row r="72" spans="1:5" x14ac:dyDescent="0.25">
      <c r="A72" s="6">
        <v>44742</v>
      </c>
      <c r="B72" t="s">
        <v>49</v>
      </c>
      <c r="C72">
        <v>13788</v>
      </c>
      <c r="D72" t="s">
        <v>30</v>
      </c>
      <c r="E72" t="s">
        <v>58</v>
      </c>
    </row>
    <row r="73" spans="1:5" x14ac:dyDescent="0.25">
      <c r="A73" s="6">
        <v>44742</v>
      </c>
      <c r="B73" t="s">
        <v>50</v>
      </c>
      <c r="C73">
        <v>33487</v>
      </c>
      <c r="D73" t="s">
        <v>31</v>
      </c>
      <c r="E73" t="s">
        <v>57</v>
      </c>
    </row>
    <row r="74" spans="1:5" x14ac:dyDescent="0.25">
      <c r="A74" s="6">
        <v>44773</v>
      </c>
      <c r="B74" t="s">
        <v>48</v>
      </c>
      <c r="C74">
        <v>1111</v>
      </c>
      <c r="D74" t="s">
        <v>29</v>
      </c>
      <c r="E74" t="s">
        <v>59</v>
      </c>
    </row>
    <row r="75" spans="1:5" x14ac:dyDescent="0.25">
      <c r="A75" s="6">
        <v>44773</v>
      </c>
      <c r="B75" t="s">
        <v>49</v>
      </c>
      <c r="C75">
        <v>6801</v>
      </c>
      <c r="D75" t="s">
        <v>30</v>
      </c>
      <c r="E75" t="s">
        <v>58</v>
      </c>
    </row>
    <row r="76" spans="1:5" x14ac:dyDescent="0.25">
      <c r="A76" s="6">
        <v>44773</v>
      </c>
      <c r="B76" t="s">
        <v>50</v>
      </c>
      <c r="C76">
        <v>22550</v>
      </c>
      <c r="D76" t="s">
        <v>31</v>
      </c>
      <c r="E76" t="s">
        <v>57</v>
      </c>
    </row>
    <row r="77" spans="1:5" x14ac:dyDescent="0.25">
      <c r="A77" s="6">
        <v>44773</v>
      </c>
      <c r="B77" t="s">
        <v>48</v>
      </c>
      <c r="C77">
        <v>2316</v>
      </c>
      <c r="D77" t="s">
        <v>29</v>
      </c>
      <c r="E77" t="s">
        <v>59</v>
      </c>
    </row>
    <row r="78" spans="1:5" x14ac:dyDescent="0.25">
      <c r="A78" s="6">
        <v>44773</v>
      </c>
      <c r="B78" t="s">
        <v>49</v>
      </c>
      <c r="C78">
        <v>15223</v>
      </c>
      <c r="D78" t="s">
        <v>30</v>
      </c>
      <c r="E78" t="s">
        <v>58</v>
      </c>
    </row>
    <row r="79" spans="1:5" x14ac:dyDescent="0.25">
      <c r="A79" s="6">
        <v>44773</v>
      </c>
      <c r="B79" t="s">
        <v>50</v>
      </c>
      <c r="C79">
        <v>37289</v>
      </c>
      <c r="D79" t="s">
        <v>31</v>
      </c>
      <c r="E79" t="s">
        <v>57</v>
      </c>
    </row>
    <row r="80" spans="1:5" x14ac:dyDescent="0.25">
      <c r="A80" s="6">
        <v>44773</v>
      </c>
      <c r="B80" t="s">
        <v>48</v>
      </c>
      <c r="C80">
        <v>786</v>
      </c>
      <c r="D80" t="s">
        <v>29</v>
      </c>
      <c r="E80" t="s">
        <v>59</v>
      </c>
    </row>
    <row r="81" spans="1:5" x14ac:dyDescent="0.25">
      <c r="A81" s="6">
        <v>44773</v>
      </c>
      <c r="B81" t="s">
        <v>49</v>
      </c>
      <c r="C81">
        <v>5119</v>
      </c>
      <c r="D81" t="s">
        <v>30</v>
      </c>
      <c r="E81" t="s">
        <v>58</v>
      </c>
    </row>
    <row r="82" spans="1:5" x14ac:dyDescent="0.25">
      <c r="A82" s="6">
        <v>44773</v>
      </c>
      <c r="B82" t="s">
        <v>50</v>
      </c>
      <c r="C82">
        <v>25975</v>
      </c>
      <c r="D82" t="s">
        <v>31</v>
      </c>
      <c r="E82" t="s">
        <v>57</v>
      </c>
    </row>
    <row r="83" spans="1:5" x14ac:dyDescent="0.25">
      <c r="A83" s="6">
        <v>44773</v>
      </c>
      <c r="B83" t="s">
        <v>48</v>
      </c>
      <c r="C83">
        <v>4474</v>
      </c>
      <c r="D83" t="s">
        <v>29</v>
      </c>
      <c r="E83" t="s">
        <v>59</v>
      </c>
    </row>
    <row r="84" spans="1:5" x14ac:dyDescent="0.25">
      <c r="A84" s="6">
        <v>44773</v>
      </c>
      <c r="B84" t="s">
        <v>49</v>
      </c>
      <c r="C84">
        <v>19871</v>
      </c>
      <c r="D84" t="s">
        <v>30</v>
      </c>
      <c r="E84" t="s">
        <v>58</v>
      </c>
    </row>
    <row r="85" spans="1:5" x14ac:dyDescent="0.25">
      <c r="A85" s="6">
        <v>44773</v>
      </c>
      <c r="B85" t="s">
        <v>50</v>
      </c>
      <c r="C85">
        <v>21303</v>
      </c>
      <c r="D85" t="s">
        <v>31</v>
      </c>
      <c r="E85" t="s">
        <v>57</v>
      </c>
    </row>
    <row r="86" spans="1:5" x14ac:dyDescent="0.25">
      <c r="A86" s="6">
        <v>44804</v>
      </c>
      <c r="B86" t="s">
        <v>48</v>
      </c>
      <c r="C86">
        <v>603</v>
      </c>
      <c r="D86" t="s">
        <v>29</v>
      </c>
      <c r="E86" t="s">
        <v>59</v>
      </c>
    </row>
    <row r="87" spans="1:5" x14ac:dyDescent="0.25">
      <c r="A87" s="6">
        <v>44804</v>
      </c>
      <c r="B87" t="s">
        <v>49</v>
      </c>
      <c r="C87">
        <v>18752</v>
      </c>
      <c r="D87" t="s">
        <v>30</v>
      </c>
      <c r="E87" t="s">
        <v>58</v>
      </c>
    </row>
    <row r="88" spans="1:5" x14ac:dyDescent="0.25">
      <c r="A88" s="6">
        <v>44804</v>
      </c>
      <c r="B88" t="s">
        <v>50</v>
      </c>
      <c r="C88">
        <v>23566</v>
      </c>
      <c r="D88" t="s">
        <v>31</v>
      </c>
      <c r="E88" t="s">
        <v>57</v>
      </c>
    </row>
    <row r="89" spans="1:5" x14ac:dyDescent="0.25">
      <c r="A89" s="6">
        <v>44804</v>
      </c>
      <c r="B89" t="s">
        <v>48</v>
      </c>
      <c r="C89">
        <v>2534</v>
      </c>
      <c r="D89" t="s">
        <v>29</v>
      </c>
      <c r="E89" t="s">
        <v>59</v>
      </c>
    </row>
    <row r="90" spans="1:5" x14ac:dyDescent="0.25">
      <c r="A90" s="6">
        <v>44804</v>
      </c>
      <c r="B90" t="s">
        <v>49</v>
      </c>
      <c r="C90">
        <v>11546</v>
      </c>
      <c r="D90" t="s">
        <v>30</v>
      </c>
      <c r="E90" t="s">
        <v>58</v>
      </c>
    </row>
    <row r="91" spans="1:5" x14ac:dyDescent="0.25">
      <c r="A91" s="6">
        <v>44804</v>
      </c>
      <c r="B91" t="s">
        <v>50</v>
      </c>
      <c r="C91">
        <v>47808</v>
      </c>
      <c r="D91" t="s">
        <v>31</v>
      </c>
      <c r="E91" t="s">
        <v>57</v>
      </c>
    </row>
    <row r="92" spans="1:5" x14ac:dyDescent="0.25">
      <c r="A92" s="6">
        <v>44804</v>
      </c>
      <c r="B92" t="s">
        <v>48</v>
      </c>
      <c r="C92">
        <v>4709</v>
      </c>
      <c r="D92" t="s">
        <v>29</v>
      </c>
      <c r="E92" t="s">
        <v>59</v>
      </c>
    </row>
    <row r="93" spans="1:5" x14ac:dyDescent="0.25">
      <c r="A93" s="6">
        <v>44804</v>
      </c>
      <c r="B93" t="s">
        <v>49</v>
      </c>
      <c r="C93">
        <v>12474</v>
      </c>
      <c r="D93" t="s">
        <v>30</v>
      </c>
      <c r="E93" t="s">
        <v>58</v>
      </c>
    </row>
    <row r="94" spans="1:5" x14ac:dyDescent="0.25">
      <c r="A94" s="6">
        <v>44804</v>
      </c>
      <c r="B94" t="s">
        <v>50</v>
      </c>
      <c r="C94">
        <v>37827</v>
      </c>
      <c r="D94" t="s">
        <v>31</v>
      </c>
      <c r="E94" t="s">
        <v>57</v>
      </c>
    </row>
    <row r="95" spans="1:5" x14ac:dyDescent="0.25">
      <c r="A95" s="6">
        <v>44804</v>
      </c>
      <c r="B95" t="s">
        <v>48</v>
      </c>
      <c r="C95">
        <v>3536</v>
      </c>
      <c r="D95" t="s">
        <v>29</v>
      </c>
      <c r="E95" t="s">
        <v>59</v>
      </c>
    </row>
    <row r="96" spans="1:5" x14ac:dyDescent="0.25">
      <c r="A96" s="6">
        <v>44804</v>
      </c>
      <c r="B96" t="s">
        <v>49</v>
      </c>
      <c r="C96">
        <v>13557</v>
      </c>
      <c r="D96" t="s">
        <v>30</v>
      </c>
      <c r="E96" t="s">
        <v>58</v>
      </c>
    </row>
    <row r="97" spans="1:5" x14ac:dyDescent="0.25">
      <c r="A97" s="6">
        <v>44804</v>
      </c>
      <c r="B97" t="s">
        <v>50</v>
      </c>
      <c r="C97">
        <v>48242</v>
      </c>
      <c r="D97" t="s">
        <v>31</v>
      </c>
      <c r="E97" t="s">
        <v>57</v>
      </c>
    </row>
    <row r="98" spans="1:5" x14ac:dyDescent="0.25">
      <c r="A98" s="6">
        <v>44834</v>
      </c>
      <c r="B98" t="s">
        <v>48</v>
      </c>
      <c r="C98">
        <v>2380</v>
      </c>
      <c r="D98" t="s">
        <v>29</v>
      </c>
      <c r="E98" t="s">
        <v>59</v>
      </c>
    </row>
    <row r="99" spans="1:5" x14ac:dyDescent="0.25">
      <c r="A99" s="6">
        <v>44834</v>
      </c>
      <c r="B99" t="s">
        <v>49</v>
      </c>
      <c r="C99">
        <v>9011</v>
      </c>
      <c r="D99" t="s">
        <v>30</v>
      </c>
      <c r="E99" t="s">
        <v>58</v>
      </c>
    </row>
    <row r="100" spans="1:5" x14ac:dyDescent="0.25">
      <c r="A100" s="6">
        <v>44834</v>
      </c>
      <c r="B100" t="s">
        <v>50</v>
      </c>
      <c r="C100">
        <v>26157</v>
      </c>
      <c r="D100" t="s">
        <v>31</v>
      </c>
      <c r="E100" t="s">
        <v>57</v>
      </c>
    </row>
    <row r="101" spans="1:5" x14ac:dyDescent="0.25">
      <c r="A101" s="6">
        <v>44834</v>
      </c>
      <c r="B101" t="s">
        <v>48</v>
      </c>
      <c r="C101">
        <v>1471</v>
      </c>
      <c r="D101" t="s">
        <v>29</v>
      </c>
      <c r="E101" t="s">
        <v>59</v>
      </c>
    </row>
    <row r="102" spans="1:5" x14ac:dyDescent="0.25">
      <c r="A102" s="6">
        <v>44834</v>
      </c>
      <c r="B102" t="s">
        <v>49</v>
      </c>
      <c r="C102">
        <v>9112</v>
      </c>
      <c r="D102" t="s">
        <v>30</v>
      </c>
      <c r="E102" t="s">
        <v>58</v>
      </c>
    </row>
    <row r="103" spans="1:5" x14ac:dyDescent="0.25">
      <c r="A103" s="6">
        <v>44834</v>
      </c>
      <c r="B103" t="s">
        <v>50</v>
      </c>
      <c r="C103">
        <v>28889</v>
      </c>
      <c r="D103" t="s">
        <v>31</v>
      </c>
      <c r="E103" t="s">
        <v>57</v>
      </c>
    </row>
    <row r="104" spans="1:5" x14ac:dyDescent="0.25">
      <c r="A104" s="6">
        <v>44834</v>
      </c>
      <c r="B104" t="s">
        <v>48</v>
      </c>
      <c r="C104">
        <v>3598</v>
      </c>
      <c r="D104" t="s">
        <v>29</v>
      </c>
      <c r="E104" t="s">
        <v>59</v>
      </c>
    </row>
    <row r="105" spans="1:5" x14ac:dyDescent="0.25">
      <c r="A105" s="6">
        <v>44834</v>
      </c>
      <c r="B105" t="s">
        <v>49</v>
      </c>
      <c r="C105">
        <v>13818</v>
      </c>
      <c r="D105" t="s">
        <v>30</v>
      </c>
      <c r="E105" t="s">
        <v>58</v>
      </c>
    </row>
    <row r="106" spans="1:5" x14ac:dyDescent="0.25">
      <c r="A106" s="6">
        <v>44834</v>
      </c>
      <c r="B106" t="s">
        <v>50</v>
      </c>
      <c r="C106">
        <v>35846</v>
      </c>
      <c r="D106" t="s">
        <v>31</v>
      </c>
      <c r="E106" t="s">
        <v>57</v>
      </c>
    </row>
    <row r="107" spans="1:5" x14ac:dyDescent="0.25">
      <c r="A107" s="6">
        <v>44834</v>
      </c>
      <c r="B107" t="s">
        <v>48</v>
      </c>
      <c r="C107">
        <v>4567</v>
      </c>
      <c r="D107" t="s">
        <v>29</v>
      </c>
      <c r="E107" t="s">
        <v>59</v>
      </c>
    </row>
    <row r="108" spans="1:5" x14ac:dyDescent="0.25">
      <c r="A108" s="6">
        <v>44834</v>
      </c>
      <c r="B108" t="s">
        <v>49</v>
      </c>
      <c r="C108">
        <v>19075</v>
      </c>
      <c r="D108" t="s">
        <v>30</v>
      </c>
      <c r="E108" t="s">
        <v>58</v>
      </c>
    </row>
    <row r="109" spans="1:5" x14ac:dyDescent="0.25">
      <c r="A109" s="6">
        <v>44834</v>
      </c>
      <c r="B109" t="s">
        <v>50</v>
      </c>
      <c r="C109">
        <v>47971</v>
      </c>
      <c r="D109" t="s">
        <v>31</v>
      </c>
      <c r="E109" t="s">
        <v>57</v>
      </c>
    </row>
    <row r="110" spans="1:5" x14ac:dyDescent="0.25">
      <c r="A110" s="6">
        <v>44865</v>
      </c>
      <c r="B110" t="s">
        <v>48</v>
      </c>
      <c r="C110">
        <v>636</v>
      </c>
      <c r="D110" t="s">
        <v>29</v>
      </c>
      <c r="E110" t="s">
        <v>59</v>
      </c>
    </row>
    <row r="111" spans="1:5" x14ac:dyDescent="0.25">
      <c r="A111" s="6">
        <v>44865</v>
      </c>
      <c r="B111" t="s">
        <v>49</v>
      </c>
      <c r="C111">
        <v>6472</v>
      </c>
      <c r="D111" t="s">
        <v>30</v>
      </c>
      <c r="E111" t="s">
        <v>58</v>
      </c>
    </row>
    <row r="112" spans="1:5" x14ac:dyDescent="0.25">
      <c r="A112" s="6">
        <v>44865</v>
      </c>
      <c r="B112" t="s">
        <v>50</v>
      </c>
      <c r="C112">
        <v>30646</v>
      </c>
      <c r="D112" t="s">
        <v>31</v>
      </c>
      <c r="E112" t="s">
        <v>57</v>
      </c>
    </row>
    <row r="113" spans="1:5" x14ac:dyDescent="0.25">
      <c r="A113" s="6">
        <v>44865</v>
      </c>
      <c r="B113" t="s">
        <v>48</v>
      </c>
      <c r="C113">
        <v>745</v>
      </c>
      <c r="D113" t="s">
        <v>29</v>
      </c>
      <c r="E113" t="s">
        <v>59</v>
      </c>
    </row>
    <row r="114" spans="1:5" x14ac:dyDescent="0.25">
      <c r="A114" s="6">
        <v>44865</v>
      </c>
      <c r="B114" t="s">
        <v>49</v>
      </c>
      <c r="C114">
        <v>16966</v>
      </c>
      <c r="D114" t="s">
        <v>30</v>
      </c>
      <c r="E114" t="s">
        <v>58</v>
      </c>
    </row>
    <row r="115" spans="1:5" x14ac:dyDescent="0.25">
      <c r="A115" s="6">
        <v>44865</v>
      </c>
      <c r="B115" t="s">
        <v>50</v>
      </c>
      <c r="C115">
        <v>25920</v>
      </c>
      <c r="D115" t="s">
        <v>31</v>
      </c>
      <c r="E115" t="s">
        <v>57</v>
      </c>
    </row>
    <row r="116" spans="1:5" x14ac:dyDescent="0.25">
      <c r="A116" s="6">
        <v>44865</v>
      </c>
      <c r="B116" t="s">
        <v>48</v>
      </c>
      <c r="C116">
        <v>2587</v>
      </c>
      <c r="D116" t="s">
        <v>29</v>
      </c>
      <c r="E116" t="s">
        <v>59</v>
      </c>
    </row>
    <row r="117" spans="1:5" x14ac:dyDescent="0.25">
      <c r="A117" s="6">
        <v>44865</v>
      </c>
      <c r="B117" t="s">
        <v>49</v>
      </c>
      <c r="C117">
        <v>10212</v>
      </c>
      <c r="D117" t="s">
        <v>30</v>
      </c>
      <c r="E117" t="s">
        <v>58</v>
      </c>
    </row>
    <row r="118" spans="1:5" x14ac:dyDescent="0.25">
      <c r="A118" s="6">
        <v>44865</v>
      </c>
      <c r="B118" t="s">
        <v>50</v>
      </c>
      <c r="C118">
        <v>36400</v>
      </c>
      <c r="D118" t="s">
        <v>31</v>
      </c>
      <c r="E118" t="s">
        <v>57</v>
      </c>
    </row>
    <row r="119" spans="1:5" x14ac:dyDescent="0.25">
      <c r="A119" s="6">
        <v>44865</v>
      </c>
      <c r="B119" t="s">
        <v>48</v>
      </c>
      <c r="C119">
        <v>3824</v>
      </c>
      <c r="D119" t="s">
        <v>29</v>
      </c>
      <c r="E119" t="s">
        <v>59</v>
      </c>
    </row>
    <row r="120" spans="1:5" x14ac:dyDescent="0.25">
      <c r="A120" s="6">
        <v>44865</v>
      </c>
      <c r="B120" t="s">
        <v>49</v>
      </c>
      <c r="C120">
        <v>8695</v>
      </c>
      <c r="D120" t="s">
        <v>30</v>
      </c>
      <c r="E120" t="s">
        <v>58</v>
      </c>
    </row>
    <row r="121" spans="1:5" x14ac:dyDescent="0.25">
      <c r="A121" s="6">
        <v>44865</v>
      </c>
      <c r="B121" t="s">
        <v>50</v>
      </c>
      <c r="C121">
        <v>40649</v>
      </c>
      <c r="D121" t="s">
        <v>31</v>
      </c>
      <c r="E121" t="s">
        <v>57</v>
      </c>
    </row>
    <row r="122" spans="1:5" x14ac:dyDescent="0.25">
      <c r="A122" s="6">
        <v>44895</v>
      </c>
      <c r="B122" t="s">
        <v>48</v>
      </c>
      <c r="C122">
        <v>1804</v>
      </c>
      <c r="D122" t="s">
        <v>29</v>
      </c>
      <c r="E122" t="s">
        <v>59</v>
      </c>
    </row>
    <row r="123" spans="1:5" x14ac:dyDescent="0.25">
      <c r="A123" s="6">
        <v>44895</v>
      </c>
      <c r="B123" t="s">
        <v>49</v>
      </c>
      <c r="C123">
        <v>14281</v>
      </c>
      <c r="D123" t="s">
        <v>30</v>
      </c>
      <c r="E123" t="s">
        <v>58</v>
      </c>
    </row>
    <row r="124" spans="1:5" x14ac:dyDescent="0.25">
      <c r="A124" s="6">
        <v>44895</v>
      </c>
      <c r="B124" t="s">
        <v>50</v>
      </c>
      <c r="C124">
        <v>28757</v>
      </c>
      <c r="D124" t="s">
        <v>31</v>
      </c>
      <c r="E124" t="s">
        <v>57</v>
      </c>
    </row>
    <row r="125" spans="1:5" x14ac:dyDescent="0.25">
      <c r="A125" s="6">
        <v>44895</v>
      </c>
      <c r="B125" t="s">
        <v>48</v>
      </c>
      <c r="C125">
        <v>414</v>
      </c>
      <c r="D125" t="s">
        <v>29</v>
      </c>
      <c r="E125" t="s">
        <v>59</v>
      </c>
    </row>
    <row r="126" spans="1:5" x14ac:dyDescent="0.25">
      <c r="A126" s="6">
        <v>44895</v>
      </c>
      <c r="B126" t="s">
        <v>49</v>
      </c>
      <c r="C126">
        <v>8869</v>
      </c>
      <c r="D126" t="s">
        <v>30</v>
      </c>
      <c r="E126" t="s">
        <v>58</v>
      </c>
    </row>
    <row r="127" spans="1:5" x14ac:dyDescent="0.25">
      <c r="A127" s="6">
        <v>44895</v>
      </c>
      <c r="B127" t="s">
        <v>50</v>
      </c>
      <c r="C127">
        <v>44551</v>
      </c>
      <c r="D127" t="s">
        <v>31</v>
      </c>
      <c r="E127" t="s">
        <v>57</v>
      </c>
    </row>
    <row r="128" spans="1:5" x14ac:dyDescent="0.25">
      <c r="A128" s="6">
        <v>44895</v>
      </c>
      <c r="B128" t="s">
        <v>48</v>
      </c>
      <c r="C128">
        <v>3060</v>
      </c>
      <c r="D128" t="s">
        <v>29</v>
      </c>
      <c r="E128" t="s">
        <v>59</v>
      </c>
    </row>
    <row r="129" spans="1:5" x14ac:dyDescent="0.25">
      <c r="A129" s="6">
        <v>44895</v>
      </c>
      <c r="B129" t="s">
        <v>49</v>
      </c>
      <c r="C129">
        <v>18775</v>
      </c>
      <c r="D129" t="s">
        <v>30</v>
      </c>
      <c r="E129" t="s">
        <v>58</v>
      </c>
    </row>
    <row r="130" spans="1:5" x14ac:dyDescent="0.25">
      <c r="A130" s="6">
        <v>44895</v>
      </c>
      <c r="B130" t="s">
        <v>50</v>
      </c>
      <c r="C130">
        <v>40850</v>
      </c>
      <c r="D130" t="s">
        <v>31</v>
      </c>
      <c r="E130" t="s">
        <v>57</v>
      </c>
    </row>
    <row r="131" spans="1:5" x14ac:dyDescent="0.25">
      <c r="A131" s="6">
        <v>44895</v>
      </c>
      <c r="B131" t="s">
        <v>48</v>
      </c>
      <c r="C131">
        <v>3401</v>
      </c>
      <c r="D131" t="s">
        <v>29</v>
      </c>
      <c r="E131" t="s">
        <v>59</v>
      </c>
    </row>
    <row r="132" spans="1:5" x14ac:dyDescent="0.25">
      <c r="A132" s="6">
        <v>44895</v>
      </c>
      <c r="B132" t="s">
        <v>49</v>
      </c>
      <c r="C132">
        <v>11270</v>
      </c>
      <c r="D132" t="s">
        <v>30</v>
      </c>
      <c r="E132" t="s">
        <v>58</v>
      </c>
    </row>
    <row r="133" spans="1:5" x14ac:dyDescent="0.25">
      <c r="A133" s="6">
        <v>44895</v>
      </c>
      <c r="B133" t="s">
        <v>50</v>
      </c>
      <c r="C133">
        <v>43477</v>
      </c>
      <c r="D133" t="s">
        <v>31</v>
      </c>
      <c r="E133" t="s">
        <v>57</v>
      </c>
    </row>
    <row r="134" spans="1:5" x14ac:dyDescent="0.25">
      <c r="A134" s="6">
        <v>44926</v>
      </c>
      <c r="B134" t="s">
        <v>48</v>
      </c>
      <c r="C134">
        <v>3384</v>
      </c>
      <c r="D134" t="s">
        <v>29</v>
      </c>
      <c r="E134" t="s">
        <v>59</v>
      </c>
    </row>
    <row r="135" spans="1:5" x14ac:dyDescent="0.25">
      <c r="A135" s="6">
        <v>44926</v>
      </c>
      <c r="B135" t="s">
        <v>49</v>
      </c>
      <c r="C135">
        <v>15555</v>
      </c>
      <c r="D135" t="s">
        <v>30</v>
      </c>
      <c r="E135" t="s">
        <v>58</v>
      </c>
    </row>
    <row r="136" spans="1:5" x14ac:dyDescent="0.25">
      <c r="A136" s="6">
        <v>44926</v>
      </c>
      <c r="B136" t="s">
        <v>50</v>
      </c>
      <c r="C136">
        <v>20562</v>
      </c>
      <c r="D136" t="s">
        <v>31</v>
      </c>
      <c r="E136" t="s">
        <v>57</v>
      </c>
    </row>
    <row r="137" spans="1:5" x14ac:dyDescent="0.25">
      <c r="A137" s="6">
        <v>44926</v>
      </c>
      <c r="B137" t="s">
        <v>48</v>
      </c>
      <c r="C137">
        <v>1471</v>
      </c>
      <c r="D137" t="s">
        <v>29</v>
      </c>
      <c r="E137" t="s">
        <v>59</v>
      </c>
    </row>
    <row r="138" spans="1:5" x14ac:dyDescent="0.25">
      <c r="A138" s="6">
        <v>44926</v>
      </c>
      <c r="B138" t="s">
        <v>49</v>
      </c>
      <c r="C138">
        <v>7896</v>
      </c>
      <c r="D138" t="s">
        <v>30</v>
      </c>
      <c r="E138" t="s">
        <v>58</v>
      </c>
    </row>
    <row r="139" spans="1:5" x14ac:dyDescent="0.25">
      <c r="A139" s="6">
        <v>44926</v>
      </c>
      <c r="B139" t="s">
        <v>50</v>
      </c>
      <c r="C139">
        <v>48592</v>
      </c>
      <c r="D139" t="s">
        <v>31</v>
      </c>
      <c r="E139" t="s">
        <v>57</v>
      </c>
    </row>
    <row r="140" spans="1:5" x14ac:dyDescent="0.25">
      <c r="A140" s="6">
        <v>44926</v>
      </c>
      <c r="B140" t="s">
        <v>48</v>
      </c>
      <c r="C140">
        <v>4604</v>
      </c>
      <c r="D140" t="s">
        <v>29</v>
      </c>
      <c r="E140" t="s">
        <v>59</v>
      </c>
    </row>
    <row r="141" spans="1:5" x14ac:dyDescent="0.25">
      <c r="A141" s="6">
        <v>44926</v>
      </c>
      <c r="B141" t="s">
        <v>49</v>
      </c>
      <c r="C141">
        <v>5656</v>
      </c>
      <c r="D141" t="s">
        <v>30</v>
      </c>
      <c r="E141" t="s">
        <v>58</v>
      </c>
    </row>
    <row r="142" spans="1:5" x14ac:dyDescent="0.25">
      <c r="A142" s="6">
        <v>44926</v>
      </c>
      <c r="B142" t="s">
        <v>50</v>
      </c>
      <c r="C142">
        <v>45923</v>
      </c>
      <c r="D142" t="s">
        <v>31</v>
      </c>
      <c r="E142" t="s">
        <v>57</v>
      </c>
    </row>
    <row r="143" spans="1:5" x14ac:dyDescent="0.25">
      <c r="A143" s="6">
        <v>44926</v>
      </c>
      <c r="B143" t="s">
        <v>48</v>
      </c>
      <c r="C143">
        <v>3964</v>
      </c>
      <c r="D143" t="s">
        <v>29</v>
      </c>
      <c r="E143" t="s">
        <v>59</v>
      </c>
    </row>
    <row r="144" spans="1:5" x14ac:dyDescent="0.25">
      <c r="A144" s="6">
        <v>44926</v>
      </c>
      <c r="B144" t="s">
        <v>49</v>
      </c>
      <c r="C144">
        <v>5388</v>
      </c>
      <c r="D144" t="s">
        <v>30</v>
      </c>
      <c r="E144" t="s">
        <v>58</v>
      </c>
    </row>
    <row r="145" spans="1:5" x14ac:dyDescent="0.25">
      <c r="A145" s="6">
        <v>44926</v>
      </c>
      <c r="B145" t="s">
        <v>50</v>
      </c>
      <c r="C145">
        <v>40185</v>
      </c>
      <c r="D145" t="s">
        <v>31</v>
      </c>
      <c r="E145" t="s">
        <v>57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40F7A-8435-4F11-A491-50697FEDE0A1}">
  <sheetPr codeName="Sheet11"/>
  <dimension ref="A1:AA61"/>
  <sheetViews>
    <sheetView zoomScaleNormal="100" workbookViewId="0">
      <selection activeCell="D8" sqref="D8"/>
    </sheetView>
  </sheetViews>
  <sheetFormatPr defaultRowHeight="15" x14ac:dyDescent="0.25"/>
  <cols>
    <col min="1" max="1" width="10.42578125" bestFit="1" customWidth="1"/>
    <col min="2" max="2" width="7.42578125" bestFit="1" customWidth="1"/>
    <col min="3" max="3" width="6" bestFit="1" customWidth="1"/>
    <col min="4" max="4" width="9.7109375" bestFit="1" customWidth="1"/>
    <col min="5" max="5" width="12" bestFit="1" customWidth="1"/>
  </cols>
  <sheetData>
    <row r="1" spans="1:27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  <c r="O1" t="s">
        <v>86</v>
      </c>
      <c r="P1" s="7">
        <v>44562</v>
      </c>
      <c r="Q1" s="7">
        <v>44593</v>
      </c>
      <c r="R1" s="7">
        <v>44621</v>
      </c>
      <c r="S1" s="7">
        <v>44652</v>
      </c>
      <c r="T1" s="7">
        <v>44682</v>
      </c>
      <c r="U1" s="7">
        <v>44713</v>
      </c>
      <c r="V1" s="7">
        <v>44743</v>
      </c>
      <c r="W1" s="7">
        <v>44774</v>
      </c>
      <c r="X1" s="7">
        <v>44805</v>
      </c>
      <c r="Y1" s="7">
        <v>44835</v>
      </c>
      <c r="Z1" s="7">
        <v>44866</v>
      </c>
      <c r="AA1" s="7">
        <v>44896</v>
      </c>
    </row>
    <row r="2" spans="1:27" x14ac:dyDescent="0.25">
      <c r="A2" s="6">
        <v>44592</v>
      </c>
      <c r="B2" t="s">
        <v>48</v>
      </c>
      <c r="C2">
        <v>2091</v>
      </c>
      <c r="D2" t="s">
        <v>29</v>
      </c>
      <c r="E2" t="s">
        <v>59</v>
      </c>
      <c r="O2" t="s">
        <v>50</v>
      </c>
      <c r="P2">
        <v>32059</v>
      </c>
      <c r="Q2">
        <v>42637</v>
      </c>
      <c r="R2">
        <v>32180</v>
      </c>
      <c r="S2">
        <v>38032</v>
      </c>
      <c r="T2">
        <v>36845</v>
      </c>
      <c r="U2">
        <v>24427</v>
      </c>
      <c r="V2">
        <v>27435</v>
      </c>
      <c r="W2">
        <v>44680</v>
      </c>
      <c r="X2">
        <v>45441</v>
      </c>
      <c r="Y2">
        <v>22458</v>
      </c>
      <c r="Z2">
        <v>48241</v>
      </c>
      <c r="AA2">
        <v>34794</v>
      </c>
    </row>
    <row r="3" spans="1:27" x14ac:dyDescent="0.25">
      <c r="A3" s="6">
        <v>44592</v>
      </c>
      <c r="B3" t="s">
        <v>49</v>
      </c>
      <c r="C3">
        <v>19604</v>
      </c>
      <c r="D3" t="s">
        <v>30</v>
      </c>
      <c r="E3" t="s">
        <v>58</v>
      </c>
      <c r="O3" t="s">
        <v>48</v>
      </c>
      <c r="P3">
        <v>2091</v>
      </c>
      <c r="Q3">
        <v>532</v>
      </c>
      <c r="R3">
        <v>2849</v>
      </c>
      <c r="S3">
        <v>3998</v>
      </c>
      <c r="T3">
        <v>479</v>
      </c>
      <c r="U3">
        <v>3963</v>
      </c>
      <c r="V3">
        <v>3243</v>
      </c>
      <c r="W3">
        <v>3787</v>
      </c>
      <c r="X3">
        <v>4040</v>
      </c>
      <c r="Y3">
        <v>441</v>
      </c>
      <c r="Z3">
        <v>3308</v>
      </c>
      <c r="AA3">
        <v>406</v>
      </c>
    </row>
    <row r="4" spans="1:27" x14ac:dyDescent="0.25">
      <c r="A4" s="6">
        <v>44592</v>
      </c>
      <c r="B4" t="s">
        <v>50</v>
      </c>
      <c r="C4">
        <v>32059</v>
      </c>
      <c r="D4" t="s">
        <v>31</v>
      </c>
      <c r="E4" t="s">
        <v>57</v>
      </c>
      <c r="O4" t="s">
        <v>49</v>
      </c>
      <c r="P4">
        <v>19604</v>
      </c>
      <c r="Q4">
        <v>15158</v>
      </c>
      <c r="R4">
        <v>7865</v>
      </c>
      <c r="S4">
        <v>18075</v>
      </c>
      <c r="T4">
        <v>12511</v>
      </c>
      <c r="U4">
        <v>11410</v>
      </c>
      <c r="V4">
        <v>11848</v>
      </c>
      <c r="W4">
        <v>11342</v>
      </c>
      <c r="X4">
        <v>17381</v>
      </c>
      <c r="Y4">
        <v>17432</v>
      </c>
      <c r="Z4">
        <v>14355</v>
      </c>
      <c r="AA4">
        <v>16804</v>
      </c>
    </row>
    <row r="5" spans="1:27" x14ac:dyDescent="0.25">
      <c r="A5" s="6">
        <v>44592</v>
      </c>
      <c r="B5" t="s">
        <v>88</v>
      </c>
      <c r="C5">
        <v>20996</v>
      </c>
      <c r="D5" t="s">
        <v>90</v>
      </c>
      <c r="E5" t="s">
        <v>91</v>
      </c>
      <c r="O5" t="s">
        <v>87</v>
      </c>
      <c r="P5">
        <v>53754</v>
      </c>
      <c r="Q5">
        <v>58327</v>
      </c>
      <c r="R5">
        <v>42894</v>
      </c>
      <c r="S5">
        <v>60105</v>
      </c>
      <c r="T5">
        <v>49835</v>
      </c>
      <c r="U5">
        <v>39800</v>
      </c>
      <c r="V5">
        <v>42526</v>
      </c>
      <c r="W5">
        <v>59809</v>
      </c>
      <c r="X5">
        <v>66862</v>
      </c>
      <c r="Y5">
        <v>40331</v>
      </c>
      <c r="Z5">
        <v>65904</v>
      </c>
      <c r="AA5">
        <v>52004</v>
      </c>
    </row>
    <row r="6" spans="1:27" x14ac:dyDescent="0.25">
      <c r="A6" s="6">
        <v>44592</v>
      </c>
      <c r="B6" t="s">
        <v>89</v>
      </c>
      <c r="C6">
        <v>48255</v>
      </c>
      <c r="D6" t="s">
        <v>27</v>
      </c>
      <c r="E6" t="s">
        <v>92</v>
      </c>
    </row>
    <row r="7" spans="1:27" x14ac:dyDescent="0.25">
      <c r="A7" s="6">
        <v>44620</v>
      </c>
      <c r="B7" t="s">
        <v>48</v>
      </c>
      <c r="C7">
        <v>532</v>
      </c>
      <c r="D7" t="s">
        <v>29</v>
      </c>
      <c r="E7" t="s">
        <v>59</v>
      </c>
    </row>
    <row r="8" spans="1:27" x14ac:dyDescent="0.25">
      <c r="A8" s="6">
        <v>44620</v>
      </c>
      <c r="B8" t="s">
        <v>49</v>
      </c>
      <c r="C8">
        <v>15158</v>
      </c>
      <c r="D8" t="s">
        <v>30</v>
      </c>
      <c r="E8" t="s">
        <v>58</v>
      </c>
    </row>
    <row r="9" spans="1:27" x14ac:dyDescent="0.25">
      <c r="A9" s="6">
        <v>44620</v>
      </c>
      <c r="B9" t="s">
        <v>50</v>
      </c>
      <c r="C9">
        <v>42637</v>
      </c>
      <c r="D9" t="s">
        <v>31</v>
      </c>
      <c r="E9" t="s">
        <v>57</v>
      </c>
      <c r="O9" t="s">
        <v>93</v>
      </c>
    </row>
    <row r="10" spans="1:27" x14ac:dyDescent="0.25">
      <c r="A10" s="6">
        <v>44620</v>
      </c>
      <c r="B10" t="s">
        <v>88</v>
      </c>
      <c r="C10">
        <v>48571</v>
      </c>
      <c r="D10" t="s">
        <v>90</v>
      </c>
      <c r="E10" t="s">
        <v>91</v>
      </c>
      <c r="O10" t="s">
        <v>86</v>
      </c>
      <c r="P10" s="7">
        <v>44562</v>
      </c>
      <c r="Q10" s="7">
        <v>44593</v>
      </c>
      <c r="R10" s="7">
        <v>44621</v>
      </c>
      <c r="S10" s="7">
        <v>44652</v>
      </c>
      <c r="T10" s="7">
        <v>44682</v>
      </c>
      <c r="U10" s="7">
        <v>44713</v>
      </c>
      <c r="V10" s="7">
        <v>44743</v>
      </c>
      <c r="W10" s="7">
        <v>44774</v>
      </c>
      <c r="X10" s="7">
        <v>44805</v>
      </c>
      <c r="Y10" s="7">
        <v>44835</v>
      </c>
      <c r="Z10" s="7">
        <v>44866</v>
      </c>
      <c r="AA10" s="7">
        <v>44896</v>
      </c>
    </row>
    <row r="11" spans="1:27" x14ac:dyDescent="0.25">
      <c r="A11" s="6">
        <v>44620</v>
      </c>
      <c r="B11" t="s">
        <v>89</v>
      </c>
      <c r="C11">
        <v>37602</v>
      </c>
      <c r="D11" t="s">
        <v>27</v>
      </c>
      <c r="E11" t="s">
        <v>92</v>
      </c>
      <c r="O11" t="s">
        <v>50</v>
      </c>
      <c r="P11" s="8">
        <v>0.5964021282137143</v>
      </c>
      <c r="Q11" s="8">
        <v>0.7309993656454129</v>
      </c>
      <c r="R11" s="8">
        <v>0.75022147619713708</v>
      </c>
      <c r="S11" s="8">
        <v>0.63275933782547211</v>
      </c>
      <c r="T11" s="8">
        <v>0.73933982141065513</v>
      </c>
      <c r="U11" s="8">
        <v>0.61374371859296484</v>
      </c>
      <c r="V11" s="8">
        <v>0.64513474109956259</v>
      </c>
      <c r="W11" s="8">
        <v>0.74704475914996071</v>
      </c>
      <c r="X11" s="8">
        <v>0.67962370255152404</v>
      </c>
      <c r="Y11" s="8">
        <v>0.55684213136297145</v>
      </c>
      <c r="Z11" s="8">
        <v>0.73198895362952177</v>
      </c>
      <c r="AA11" s="8">
        <v>0.66906391816014155</v>
      </c>
    </row>
    <row r="12" spans="1:27" x14ac:dyDescent="0.25">
      <c r="A12" s="6">
        <v>44651</v>
      </c>
      <c r="B12" t="s">
        <v>48</v>
      </c>
      <c r="C12">
        <v>2849</v>
      </c>
      <c r="D12" t="s">
        <v>29</v>
      </c>
      <c r="E12" t="s">
        <v>59</v>
      </c>
      <c r="O12" t="s">
        <v>48</v>
      </c>
      <c r="P12" s="8">
        <v>3.8899430740037953E-2</v>
      </c>
      <c r="Q12" s="8">
        <v>9.1209902789445713E-3</v>
      </c>
      <c r="R12" s="8">
        <v>6.6419545857229451E-2</v>
      </c>
      <c r="S12" s="8">
        <v>6.651692870809417E-2</v>
      </c>
      <c r="T12" s="8">
        <v>9.6117186716163337E-3</v>
      </c>
      <c r="U12" s="8">
        <v>9.9572864321608043E-2</v>
      </c>
      <c r="V12" s="8">
        <v>7.6259229647744911E-2</v>
      </c>
      <c r="W12" s="8">
        <v>6.3318229697871556E-2</v>
      </c>
      <c r="X12" s="8">
        <v>6.0422960725075532E-2</v>
      </c>
      <c r="Y12" s="8">
        <v>1.0934516872876943E-2</v>
      </c>
      <c r="Z12" s="8">
        <v>5.0194221898519055E-2</v>
      </c>
      <c r="AA12" s="8">
        <v>7.8070917621721409E-3</v>
      </c>
    </row>
    <row r="13" spans="1:27" x14ac:dyDescent="0.25">
      <c r="A13" s="6">
        <v>44651</v>
      </c>
      <c r="B13" t="s">
        <v>49</v>
      </c>
      <c r="C13">
        <v>7865</v>
      </c>
      <c r="D13" t="s">
        <v>30</v>
      </c>
      <c r="E13" t="s">
        <v>58</v>
      </c>
      <c r="O13" t="s">
        <v>49</v>
      </c>
      <c r="P13" s="8">
        <v>0.36469844104624771</v>
      </c>
      <c r="Q13" s="8">
        <v>0.25987964407564251</v>
      </c>
      <c r="R13" s="8">
        <v>0.18335897794563341</v>
      </c>
      <c r="S13" s="8">
        <v>0.30072373346643372</v>
      </c>
      <c r="T13" s="8">
        <v>0.25104845991772851</v>
      </c>
      <c r="U13" s="8">
        <v>0.28668341708542716</v>
      </c>
      <c r="V13" s="8">
        <v>0.27860602925269246</v>
      </c>
      <c r="W13" s="8">
        <v>0.18963701115216774</v>
      </c>
      <c r="X13" s="8">
        <v>0.25995333672340043</v>
      </c>
      <c r="Y13" s="8">
        <v>0.43222335176415166</v>
      </c>
      <c r="Z13" s="8">
        <v>0.21781682447195921</v>
      </c>
      <c r="AA13" s="8">
        <v>0.32312899007768631</v>
      </c>
    </row>
    <row r="14" spans="1:27" x14ac:dyDescent="0.25">
      <c r="A14" s="6">
        <v>44651</v>
      </c>
      <c r="B14" t="s">
        <v>50</v>
      </c>
      <c r="C14">
        <v>32180</v>
      </c>
      <c r="D14" t="s">
        <v>31</v>
      </c>
      <c r="E14" t="s">
        <v>57</v>
      </c>
    </row>
    <row r="15" spans="1:27" x14ac:dyDescent="0.25">
      <c r="A15" s="6">
        <v>44651</v>
      </c>
      <c r="B15" t="s">
        <v>88</v>
      </c>
      <c r="C15">
        <v>22503</v>
      </c>
      <c r="D15" t="s">
        <v>90</v>
      </c>
      <c r="E15" t="s">
        <v>91</v>
      </c>
    </row>
    <row r="16" spans="1:27" x14ac:dyDescent="0.25">
      <c r="A16" s="6">
        <v>44651</v>
      </c>
      <c r="B16" t="s">
        <v>89</v>
      </c>
      <c r="C16">
        <v>42184</v>
      </c>
      <c r="D16" t="s">
        <v>27</v>
      </c>
      <c r="E16" t="s">
        <v>92</v>
      </c>
    </row>
    <row r="17" spans="1:5" x14ac:dyDescent="0.25">
      <c r="A17" s="6">
        <v>44681</v>
      </c>
      <c r="B17" t="s">
        <v>48</v>
      </c>
      <c r="C17">
        <v>3998</v>
      </c>
      <c r="D17" t="s">
        <v>29</v>
      </c>
      <c r="E17" t="s">
        <v>59</v>
      </c>
    </row>
    <row r="18" spans="1:5" x14ac:dyDescent="0.25">
      <c r="A18" s="6">
        <v>44681</v>
      </c>
      <c r="B18" t="s">
        <v>49</v>
      </c>
      <c r="C18">
        <v>18075</v>
      </c>
      <c r="D18" t="s">
        <v>30</v>
      </c>
      <c r="E18" t="s">
        <v>58</v>
      </c>
    </row>
    <row r="19" spans="1:5" x14ac:dyDescent="0.25">
      <c r="A19" s="6">
        <v>44681</v>
      </c>
      <c r="B19" t="s">
        <v>50</v>
      </c>
      <c r="C19">
        <v>38032</v>
      </c>
      <c r="D19" t="s">
        <v>31</v>
      </c>
      <c r="E19" t="s">
        <v>57</v>
      </c>
    </row>
    <row r="20" spans="1:5" x14ac:dyDescent="0.25">
      <c r="A20" s="6">
        <v>44681</v>
      </c>
      <c r="B20" t="s">
        <v>88</v>
      </c>
      <c r="C20">
        <v>21533</v>
      </c>
      <c r="D20" t="s">
        <v>90</v>
      </c>
      <c r="E20" t="s">
        <v>91</v>
      </c>
    </row>
    <row r="21" spans="1:5" x14ac:dyDescent="0.25">
      <c r="A21" s="6">
        <v>44681</v>
      </c>
      <c r="B21" t="s">
        <v>89</v>
      </c>
      <c r="C21">
        <v>44386</v>
      </c>
      <c r="D21" t="s">
        <v>27</v>
      </c>
      <c r="E21" t="s">
        <v>92</v>
      </c>
    </row>
    <row r="22" spans="1:5" x14ac:dyDescent="0.25">
      <c r="A22" s="6">
        <v>44712</v>
      </c>
      <c r="B22" t="s">
        <v>48</v>
      </c>
      <c r="C22">
        <v>479</v>
      </c>
      <c r="D22" t="s">
        <v>29</v>
      </c>
      <c r="E22" t="s">
        <v>59</v>
      </c>
    </row>
    <row r="23" spans="1:5" x14ac:dyDescent="0.25">
      <c r="A23" s="6">
        <v>44712</v>
      </c>
      <c r="B23" t="s">
        <v>49</v>
      </c>
      <c r="C23">
        <v>12511</v>
      </c>
      <c r="D23" t="s">
        <v>30</v>
      </c>
      <c r="E23" t="s">
        <v>58</v>
      </c>
    </row>
    <row r="24" spans="1:5" x14ac:dyDescent="0.25">
      <c r="A24" s="6">
        <v>44712</v>
      </c>
      <c r="B24" t="s">
        <v>50</v>
      </c>
      <c r="C24">
        <v>36845</v>
      </c>
      <c r="D24" t="s">
        <v>31</v>
      </c>
      <c r="E24" t="s">
        <v>57</v>
      </c>
    </row>
    <row r="25" spans="1:5" x14ac:dyDescent="0.25">
      <c r="A25" s="6">
        <v>44712</v>
      </c>
      <c r="B25" t="s">
        <v>88</v>
      </c>
      <c r="C25">
        <v>31389</v>
      </c>
      <c r="D25" t="s">
        <v>90</v>
      </c>
      <c r="E25" t="s">
        <v>91</v>
      </c>
    </row>
    <row r="26" spans="1:5" x14ac:dyDescent="0.25">
      <c r="A26" s="6">
        <v>44712</v>
      </c>
      <c r="B26" t="s">
        <v>89</v>
      </c>
      <c r="C26">
        <v>46735</v>
      </c>
      <c r="D26" t="s">
        <v>27</v>
      </c>
      <c r="E26" t="s">
        <v>92</v>
      </c>
    </row>
    <row r="27" spans="1:5" x14ac:dyDescent="0.25">
      <c r="A27" s="6">
        <v>44742</v>
      </c>
      <c r="B27" t="s">
        <v>48</v>
      </c>
      <c r="C27">
        <v>3963</v>
      </c>
      <c r="D27" t="s">
        <v>29</v>
      </c>
      <c r="E27" t="s">
        <v>59</v>
      </c>
    </row>
    <row r="28" spans="1:5" x14ac:dyDescent="0.25">
      <c r="A28" s="6">
        <v>44742</v>
      </c>
      <c r="B28" t="s">
        <v>49</v>
      </c>
      <c r="C28">
        <v>11410</v>
      </c>
      <c r="D28" t="s">
        <v>30</v>
      </c>
      <c r="E28" t="s">
        <v>58</v>
      </c>
    </row>
    <row r="29" spans="1:5" x14ac:dyDescent="0.25">
      <c r="A29" s="6">
        <v>44742</v>
      </c>
      <c r="B29" t="s">
        <v>50</v>
      </c>
      <c r="C29">
        <v>24427</v>
      </c>
      <c r="D29" t="s">
        <v>31</v>
      </c>
      <c r="E29" t="s">
        <v>57</v>
      </c>
    </row>
    <row r="30" spans="1:5" x14ac:dyDescent="0.25">
      <c r="A30" s="6">
        <v>44742</v>
      </c>
      <c r="B30" t="s">
        <v>88</v>
      </c>
      <c r="C30">
        <v>28012</v>
      </c>
      <c r="D30" t="s">
        <v>90</v>
      </c>
      <c r="E30" t="s">
        <v>91</v>
      </c>
    </row>
    <row r="31" spans="1:5" x14ac:dyDescent="0.25">
      <c r="A31" s="6">
        <v>44742</v>
      </c>
      <c r="B31" t="s">
        <v>89</v>
      </c>
      <c r="C31">
        <v>42996</v>
      </c>
      <c r="D31" t="s">
        <v>27</v>
      </c>
      <c r="E31" t="s">
        <v>92</v>
      </c>
    </row>
    <row r="32" spans="1:5" x14ac:dyDescent="0.25">
      <c r="A32" s="6">
        <v>44773</v>
      </c>
      <c r="B32" t="s">
        <v>48</v>
      </c>
      <c r="C32">
        <v>3243</v>
      </c>
      <c r="D32" t="s">
        <v>29</v>
      </c>
      <c r="E32" t="s">
        <v>59</v>
      </c>
    </row>
    <row r="33" spans="1:5" x14ac:dyDescent="0.25">
      <c r="A33" s="6">
        <v>44773</v>
      </c>
      <c r="B33" t="s">
        <v>49</v>
      </c>
      <c r="C33">
        <v>11848</v>
      </c>
      <c r="D33" t="s">
        <v>30</v>
      </c>
      <c r="E33" t="s">
        <v>58</v>
      </c>
    </row>
    <row r="34" spans="1:5" x14ac:dyDescent="0.25">
      <c r="A34" s="6">
        <v>44773</v>
      </c>
      <c r="B34" t="s">
        <v>50</v>
      </c>
      <c r="C34">
        <v>27435</v>
      </c>
      <c r="D34" t="s">
        <v>31</v>
      </c>
      <c r="E34" t="s">
        <v>57</v>
      </c>
    </row>
    <row r="35" spans="1:5" x14ac:dyDescent="0.25">
      <c r="A35" s="6">
        <v>44773</v>
      </c>
      <c r="B35" t="s">
        <v>88</v>
      </c>
      <c r="C35">
        <v>44741</v>
      </c>
      <c r="D35" t="s">
        <v>90</v>
      </c>
      <c r="E35" t="s">
        <v>91</v>
      </c>
    </row>
    <row r="36" spans="1:5" x14ac:dyDescent="0.25">
      <c r="A36" s="6">
        <v>44773</v>
      </c>
      <c r="B36" t="s">
        <v>89</v>
      </c>
      <c r="C36">
        <v>33354</v>
      </c>
      <c r="D36" t="s">
        <v>27</v>
      </c>
      <c r="E36" t="s">
        <v>92</v>
      </c>
    </row>
    <row r="37" spans="1:5" x14ac:dyDescent="0.25">
      <c r="A37" s="6">
        <v>44804</v>
      </c>
      <c r="B37" t="s">
        <v>48</v>
      </c>
      <c r="C37">
        <v>3787</v>
      </c>
      <c r="D37" t="s">
        <v>29</v>
      </c>
      <c r="E37" t="s">
        <v>59</v>
      </c>
    </row>
    <row r="38" spans="1:5" x14ac:dyDescent="0.25">
      <c r="A38" s="6">
        <v>44804</v>
      </c>
      <c r="B38" t="s">
        <v>49</v>
      </c>
      <c r="C38">
        <v>11342</v>
      </c>
      <c r="D38" t="s">
        <v>30</v>
      </c>
      <c r="E38" t="s">
        <v>58</v>
      </c>
    </row>
    <row r="39" spans="1:5" x14ac:dyDescent="0.25">
      <c r="A39" s="6">
        <v>44804</v>
      </c>
      <c r="B39" t="s">
        <v>50</v>
      </c>
      <c r="C39">
        <v>44680</v>
      </c>
      <c r="D39" t="s">
        <v>31</v>
      </c>
      <c r="E39" t="s">
        <v>57</v>
      </c>
    </row>
    <row r="40" spans="1:5" x14ac:dyDescent="0.25">
      <c r="A40" s="6">
        <v>44804</v>
      </c>
      <c r="B40" t="s">
        <v>88</v>
      </c>
      <c r="C40">
        <v>44781</v>
      </c>
      <c r="D40" t="s">
        <v>90</v>
      </c>
      <c r="E40" t="s">
        <v>91</v>
      </c>
    </row>
    <row r="41" spans="1:5" x14ac:dyDescent="0.25">
      <c r="A41" s="6">
        <v>44804</v>
      </c>
      <c r="B41" t="s">
        <v>89</v>
      </c>
      <c r="C41">
        <v>21790</v>
      </c>
      <c r="D41" t="s">
        <v>27</v>
      </c>
      <c r="E41" t="s">
        <v>92</v>
      </c>
    </row>
    <row r="42" spans="1:5" x14ac:dyDescent="0.25">
      <c r="A42" s="6">
        <v>44834</v>
      </c>
      <c r="B42" t="s">
        <v>48</v>
      </c>
      <c r="C42">
        <v>4040</v>
      </c>
      <c r="D42" t="s">
        <v>29</v>
      </c>
      <c r="E42" t="s">
        <v>59</v>
      </c>
    </row>
    <row r="43" spans="1:5" x14ac:dyDescent="0.25">
      <c r="A43" s="6">
        <v>44834</v>
      </c>
      <c r="B43" t="s">
        <v>49</v>
      </c>
      <c r="C43">
        <v>17381</v>
      </c>
      <c r="D43" t="s">
        <v>30</v>
      </c>
      <c r="E43" t="s">
        <v>58</v>
      </c>
    </row>
    <row r="44" spans="1:5" x14ac:dyDescent="0.25">
      <c r="A44" s="6">
        <v>44834</v>
      </c>
      <c r="B44" t="s">
        <v>50</v>
      </c>
      <c r="C44">
        <v>45441</v>
      </c>
      <c r="D44" t="s">
        <v>31</v>
      </c>
      <c r="E44" t="s">
        <v>57</v>
      </c>
    </row>
    <row r="45" spans="1:5" x14ac:dyDescent="0.25">
      <c r="A45" s="6">
        <v>44834</v>
      </c>
      <c r="B45" t="s">
        <v>88</v>
      </c>
      <c r="C45">
        <v>28239</v>
      </c>
      <c r="D45" t="s">
        <v>90</v>
      </c>
      <c r="E45" t="s">
        <v>91</v>
      </c>
    </row>
    <row r="46" spans="1:5" x14ac:dyDescent="0.25">
      <c r="A46" s="6">
        <v>44834</v>
      </c>
      <c r="B46" t="s">
        <v>89</v>
      </c>
      <c r="C46">
        <v>35771</v>
      </c>
      <c r="D46" t="s">
        <v>27</v>
      </c>
      <c r="E46" t="s">
        <v>92</v>
      </c>
    </row>
    <row r="47" spans="1:5" x14ac:dyDescent="0.25">
      <c r="A47" s="6">
        <v>44865</v>
      </c>
      <c r="B47" t="s">
        <v>48</v>
      </c>
      <c r="C47">
        <v>441</v>
      </c>
      <c r="D47" t="s">
        <v>29</v>
      </c>
      <c r="E47" t="s">
        <v>59</v>
      </c>
    </row>
    <row r="48" spans="1:5" x14ac:dyDescent="0.25">
      <c r="A48" s="6">
        <v>44865</v>
      </c>
      <c r="B48" t="s">
        <v>49</v>
      </c>
      <c r="C48">
        <v>17432</v>
      </c>
      <c r="D48" t="s">
        <v>30</v>
      </c>
      <c r="E48" t="s">
        <v>58</v>
      </c>
    </row>
    <row r="49" spans="1:5" x14ac:dyDescent="0.25">
      <c r="A49" s="6">
        <v>44865</v>
      </c>
      <c r="B49" t="s">
        <v>50</v>
      </c>
      <c r="C49">
        <v>22458</v>
      </c>
      <c r="D49" t="s">
        <v>31</v>
      </c>
      <c r="E49" t="s">
        <v>57</v>
      </c>
    </row>
    <row r="50" spans="1:5" x14ac:dyDescent="0.25">
      <c r="A50" s="6">
        <v>44865</v>
      </c>
      <c r="B50" t="s">
        <v>88</v>
      </c>
      <c r="C50">
        <v>25227</v>
      </c>
      <c r="D50" t="s">
        <v>90</v>
      </c>
      <c r="E50" t="s">
        <v>91</v>
      </c>
    </row>
    <row r="51" spans="1:5" x14ac:dyDescent="0.25">
      <c r="A51" s="6">
        <v>44865</v>
      </c>
      <c r="B51" t="s">
        <v>89</v>
      </c>
      <c r="C51">
        <v>44724</v>
      </c>
      <c r="D51" t="s">
        <v>27</v>
      </c>
      <c r="E51" t="s">
        <v>92</v>
      </c>
    </row>
    <row r="52" spans="1:5" x14ac:dyDescent="0.25">
      <c r="A52" s="6">
        <v>44895</v>
      </c>
      <c r="B52" t="s">
        <v>48</v>
      </c>
      <c r="C52">
        <v>3308</v>
      </c>
      <c r="D52" t="s">
        <v>29</v>
      </c>
      <c r="E52" t="s">
        <v>59</v>
      </c>
    </row>
    <row r="53" spans="1:5" x14ac:dyDescent="0.25">
      <c r="A53" s="6">
        <v>44895</v>
      </c>
      <c r="B53" t="s">
        <v>49</v>
      </c>
      <c r="C53">
        <v>14355</v>
      </c>
      <c r="D53" t="s">
        <v>30</v>
      </c>
      <c r="E53" t="s">
        <v>58</v>
      </c>
    </row>
    <row r="54" spans="1:5" x14ac:dyDescent="0.25">
      <c r="A54" s="6">
        <v>44895</v>
      </c>
      <c r="B54" t="s">
        <v>50</v>
      </c>
      <c r="C54">
        <v>48241</v>
      </c>
      <c r="D54" t="s">
        <v>31</v>
      </c>
      <c r="E54" t="s">
        <v>57</v>
      </c>
    </row>
    <row r="55" spans="1:5" x14ac:dyDescent="0.25">
      <c r="A55" s="6">
        <v>44895</v>
      </c>
      <c r="B55" t="s">
        <v>88</v>
      </c>
      <c r="C55">
        <v>20452</v>
      </c>
      <c r="D55" t="s">
        <v>90</v>
      </c>
      <c r="E55" t="s">
        <v>91</v>
      </c>
    </row>
    <row r="56" spans="1:5" x14ac:dyDescent="0.25">
      <c r="A56" s="6">
        <v>44895</v>
      </c>
      <c r="B56" t="s">
        <v>89</v>
      </c>
      <c r="C56">
        <v>42947</v>
      </c>
      <c r="D56" t="s">
        <v>27</v>
      </c>
      <c r="E56" t="s">
        <v>92</v>
      </c>
    </row>
    <row r="57" spans="1:5" x14ac:dyDescent="0.25">
      <c r="A57" s="6">
        <v>44926</v>
      </c>
      <c r="B57" t="s">
        <v>48</v>
      </c>
      <c r="C57">
        <v>406</v>
      </c>
      <c r="D57" t="s">
        <v>29</v>
      </c>
      <c r="E57" t="s">
        <v>59</v>
      </c>
    </row>
    <row r="58" spans="1:5" x14ac:dyDescent="0.25">
      <c r="A58" s="6">
        <v>44926</v>
      </c>
      <c r="B58" t="s">
        <v>49</v>
      </c>
      <c r="C58">
        <v>16804</v>
      </c>
      <c r="D58" t="s">
        <v>30</v>
      </c>
      <c r="E58" t="s">
        <v>58</v>
      </c>
    </row>
    <row r="59" spans="1:5" x14ac:dyDescent="0.25">
      <c r="A59" s="6">
        <v>44926</v>
      </c>
      <c r="B59" t="s">
        <v>50</v>
      </c>
      <c r="C59">
        <v>34794</v>
      </c>
      <c r="D59" t="s">
        <v>31</v>
      </c>
      <c r="E59" t="s">
        <v>57</v>
      </c>
    </row>
    <row r="60" spans="1:5" x14ac:dyDescent="0.25">
      <c r="A60" s="6">
        <v>44926</v>
      </c>
      <c r="B60" t="s">
        <v>88</v>
      </c>
      <c r="C60">
        <v>20514</v>
      </c>
      <c r="D60" t="s">
        <v>90</v>
      </c>
      <c r="E60" t="s">
        <v>91</v>
      </c>
    </row>
    <row r="61" spans="1:5" x14ac:dyDescent="0.25">
      <c r="A61" s="6">
        <v>44926</v>
      </c>
      <c r="B61" t="s">
        <v>89</v>
      </c>
      <c r="C61">
        <v>20254</v>
      </c>
      <c r="D61" t="s">
        <v>27</v>
      </c>
      <c r="E61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5C458-B516-444A-BBF1-C0D83E82BC45}">
  <sheetPr codeName="Sheet13"/>
  <dimension ref="A1:E37"/>
  <sheetViews>
    <sheetView workbookViewId="0"/>
  </sheetViews>
  <sheetFormatPr defaultRowHeight="15" x14ac:dyDescent="0.25"/>
  <cols>
    <col min="1" max="1" width="10.42578125" bestFit="1" customWidth="1"/>
    <col min="2" max="2" width="7.42578125" bestFit="1" customWidth="1"/>
    <col min="3" max="3" width="6" bestFit="1" customWidth="1"/>
    <col min="4" max="4" width="9.7109375" bestFit="1" customWidth="1"/>
    <col min="5" max="5" width="12" bestFit="1" customWidth="1"/>
  </cols>
  <sheetData>
    <row r="1" spans="1:5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</row>
    <row r="2" spans="1:5" x14ac:dyDescent="0.25">
      <c r="A2" s="6">
        <v>44592</v>
      </c>
      <c r="B2" t="s">
        <v>48</v>
      </c>
      <c r="C2">
        <v>2091</v>
      </c>
      <c r="D2" t="s">
        <v>29</v>
      </c>
      <c r="E2" t="s">
        <v>59</v>
      </c>
    </row>
    <row r="3" spans="1:5" x14ac:dyDescent="0.25">
      <c r="A3" s="6">
        <v>44592</v>
      </c>
      <c r="B3" t="s">
        <v>49</v>
      </c>
      <c r="C3">
        <v>19604</v>
      </c>
      <c r="D3" t="s">
        <v>30</v>
      </c>
      <c r="E3" t="s">
        <v>58</v>
      </c>
    </row>
    <row r="4" spans="1:5" x14ac:dyDescent="0.25">
      <c r="A4" s="6">
        <v>44592</v>
      </c>
      <c r="B4" t="s">
        <v>88</v>
      </c>
      <c r="C4">
        <v>20996</v>
      </c>
      <c r="D4" t="s">
        <v>90</v>
      </c>
      <c r="E4" t="s">
        <v>91</v>
      </c>
    </row>
    <row r="5" spans="1:5" x14ac:dyDescent="0.25">
      <c r="A5" s="6">
        <v>44620</v>
      </c>
      <c r="B5" t="s">
        <v>48</v>
      </c>
      <c r="C5">
        <v>532</v>
      </c>
      <c r="D5" t="s">
        <v>29</v>
      </c>
      <c r="E5" t="s">
        <v>59</v>
      </c>
    </row>
    <row r="6" spans="1:5" x14ac:dyDescent="0.25">
      <c r="A6" s="6">
        <v>44620</v>
      </c>
      <c r="B6" t="s">
        <v>49</v>
      </c>
      <c r="C6">
        <v>15158</v>
      </c>
      <c r="D6" t="s">
        <v>30</v>
      </c>
      <c r="E6" t="s">
        <v>58</v>
      </c>
    </row>
    <row r="7" spans="1:5" x14ac:dyDescent="0.25">
      <c r="A7" s="6">
        <v>44620</v>
      </c>
      <c r="B7" t="s">
        <v>88</v>
      </c>
      <c r="C7">
        <v>48571</v>
      </c>
      <c r="D7" t="s">
        <v>90</v>
      </c>
      <c r="E7" t="s">
        <v>91</v>
      </c>
    </row>
    <row r="8" spans="1:5" x14ac:dyDescent="0.25">
      <c r="A8" s="6">
        <v>44651</v>
      </c>
      <c r="B8" t="s">
        <v>48</v>
      </c>
      <c r="C8">
        <v>2849</v>
      </c>
      <c r="D8" t="s">
        <v>29</v>
      </c>
      <c r="E8" t="s">
        <v>59</v>
      </c>
    </row>
    <row r="9" spans="1:5" x14ac:dyDescent="0.25">
      <c r="A9" s="6">
        <v>44651</v>
      </c>
      <c r="B9" t="s">
        <v>49</v>
      </c>
      <c r="C9">
        <v>7865</v>
      </c>
      <c r="D9" t="s">
        <v>30</v>
      </c>
      <c r="E9" t="s">
        <v>58</v>
      </c>
    </row>
    <row r="10" spans="1:5" x14ac:dyDescent="0.25">
      <c r="A10" s="6">
        <v>44651</v>
      </c>
      <c r="B10" t="s">
        <v>88</v>
      </c>
      <c r="C10">
        <v>22503</v>
      </c>
      <c r="D10" t="s">
        <v>90</v>
      </c>
      <c r="E10" t="s">
        <v>91</v>
      </c>
    </row>
    <row r="11" spans="1:5" x14ac:dyDescent="0.25">
      <c r="A11" s="6">
        <v>44681</v>
      </c>
      <c r="B11" t="s">
        <v>48</v>
      </c>
      <c r="C11">
        <v>3998</v>
      </c>
      <c r="D11" t="s">
        <v>29</v>
      </c>
      <c r="E11" t="s">
        <v>59</v>
      </c>
    </row>
    <row r="12" spans="1:5" x14ac:dyDescent="0.25">
      <c r="A12" s="6">
        <v>44681</v>
      </c>
      <c r="B12" t="s">
        <v>49</v>
      </c>
      <c r="C12">
        <v>18075</v>
      </c>
      <c r="D12" t="s">
        <v>30</v>
      </c>
      <c r="E12" t="s">
        <v>58</v>
      </c>
    </row>
    <row r="13" spans="1:5" x14ac:dyDescent="0.25">
      <c r="A13" s="6">
        <v>44681</v>
      </c>
      <c r="B13" t="s">
        <v>88</v>
      </c>
      <c r="C13">
        <v>21533</v>
      </c>
      <c r="D13" t="s">
        <v>90</v>
      </c>
      <c r="E13" t="s">
        <v>91</v>
      </c>
    </row>
    <row r="14" spans="1:5" x14ac:dyDescent="0.25">
      <c r="A14" s="6">
        <v>44712</v>
      </c>
      <c r="B14" t="s">
        <v>48</v>
      </c>
      <c r="C14">
        <v>479</v>
      </c>
      <c r="D14" t="s">
        <v>29</v>
      </c>
      <c r="E14" t="s">
        <v>59</v>
      </c>
    </row>
    <row r="15" spans="1:5" x14ac:dyDescent="0.25">
      <c r="A15" s="6">
        <v>44712</v>
      </c>
      <c r="B15" t="s">
        <v>49</v>
      </c>
      <c r="C15">
        <v>12511</v>
      </c>
      <c r="D15" t="s">
        <v>30</v>
      </c>
      <c r="E15" t="s">
        <v>58</v>
      </c>
    </row>
    <row r="16" spans="1:5" x14ac:dyDescent="0.25">
      <c r="A16" s="6">
        <v>44712</v>
      </c>
      <c r="B16" t="s">
        <v>88</v>
      </c>
      <c r="C16">
        <v>31389</v>
      </c>
      <c r="D16" t="s">
        <v>90</v>
      </c>
      <c r="E16" t="s">
        <v>91</v>
      </c>
    </row>
    <row r="17" spans="1:5" x14ac:dyDescent="0.25">
      <c r="A17" s="6">
        <v>44742</v>
      </c>
      <c r="B17" t="s">
        <v>48</v>
      </c>
      <c r="C17">
        <v>3963</v>
      </c>
      <c r="D17" t="s">
        <v>29</v>
      </c>
      <c r="E17" t="s">
        <v>59</v>
      </c>
    </row>
    <row r="18" spans="1:5" x14ac:dyDescent="0.25">
      <c r="A18" s="6">
        <v>44742</v>
      </c>
      <c r="B18" t="s">
        <v>49</v>
      </c>
      <c r="C18">
        <v>11410</v>
      </c>
      <c r="D18" t="s">
        <v>30</v>
      </c>
      <c r="E18" t="s">
        <v>58</v>
      </c>
    </row>
    <row r="19" spans="1:5" x14ac:dyDescent="0.25">
      <c r="A19" s="6">
        <v>44742</v>
      </c>
      <c r="B19" t="s">
        <v>88</v>
      </c>
      <c r="C19">
        <v>28012</v>
      </c>
      <c r="D19" t="s">
        <v>90</v>
      </c>
      <c r="E19" t="s">
        <v>91</v>
      </c>
    </row>
    <row r="20" spans="1:5" x14ac:dyDescent="0.25">
      <c r="A20" s="6">
        <v>44773</v>
      </c>
      <c r="B20" t="s">
        <v>48</v>
      </c>
      <c r="C20">
        <v>3243</v>
      </c>
      <c r="D20" t="s">
        <v>29</v>
      </c>
      <c r="E20" t="s">
        <v>59</v>
      </c>
    </row>
    <row r="21" spans="1:5" x14ac:dyDescent="0.25">
      <c r="A21" s="6">
        <v>44773</v>
      </c>
      <c r="B21" t="s">
        <v>49</v>
      </c>
      <c r="C21">
        <v>11848</v>
      </c>
      <c r="D21" t="s">
        <v>30</v>
      </c>
      <c r="E21" t="s">
        <v>58</v>
      </c>
    </row>
    <row r="22" spans="1:5" x14ac:dyDescent="0.25">
      <c r="A22" s="6">
        <v>44773</v>
      </c>
      <c r="B22" t="s">
        <v>88</v>
      </c>
      <c r="C22">
        <v>44741</v>
      </c>
      <c r="D22" t="s">
        <v>90</v>
      </c>
      <c r="E22" t="s">
        <v>91</v>
      </c>
    </row>
    <row r="23" spans="1:5" x14ac:dyDescent="0.25">
      <c r="A23" s="6">
        <v>44804</v>
      </c>
      <c r="B23" t="s">
        <v>48</v>
      </c>
      <c r="C23">
        <v>3787</v>
      </c>
      <c r="D23" t="s">
        <v>29</v>
      </c>
      <c r="E23" t="s">
        <v>59</v>
      </c>
    </row>
    <row r="24" spans="1:5" x14ac:dyDescent="0.25">
      <c r="A24" s="6">
        <v>44804</v>
      </c>
      <c r="B24" t="s">
        <v>49</v>
      </c>
      <c r="C24">
        <v>11342</v>
      </c>
      <c r="D24" t="s">
        <v>30</v>
      </c>
      <c r="E24" t="s">
        <v>58</v>
      </c>
    </row>
    <row r="25" spans="1:5" x14ac:dyDescent="0.25">
      <c r="A25" s="6">
        <v>44804</v>
      </c>
      <c r="B25" t="s">
        <v>88</v>
      </c>
      <c r="C25">
        <v>44781</v>
      </c>
      <c r="D25" t="s">
        <v>90</v>
      </c>
      <c r="E25" t="s">
        <v>91</v>
      </c>
    </row>
    <row r="26" spans="1:5" x14ac:dyDescent="0.25">
      <c r="A26" s="6">
        <v>44834</v>
      </c>
      <c r="B26" t="s">
        <v>48</v>
      </c>
      <c r="C26">
        <v>4040</v>
      </c>
      <c r="D26" t="s">
        <v>29</v>
      </c>
      <c r="E26" t="s">
        <v>59</v>
      </c>
    </row>
    <row r="27" spans="1:5" x14ac:dyDescent="0.25">
      <c r="A27" s="6">
        <v>44834</v>
      </c>
      <c r="B27" t="s">
        <v>49</v>
      </c>
      <c r="C27">
        <v>17381</v>
      </c>
      <c r="D27" t="s">
        <v>30</v>
      </c>
      <c r="E27" t="s">
        <v>58</v>
      </c>
    </row>
    <row r="28" spans="1:5" x14ac:dyDescent="0.25">
      <c r="A28" s="6">
        <v>44834</v>
      </c>
      <c r="B28" t="s">
        <v>88</v>
      </c>
      <c r="C28">
        <v>28239</v>
      </c>
      <c r="D28" t="s">
        <v>90</v>
      </c>
      <c r="E28" t="s">
        <v>91</v>
      </c>
    </row>
    <row r="29" spans="1:5" x14ac:dyDescent="0.25">
      <c r="A29" s="6">
        <v>44865</v>
      </c>
      <c r="B29" t="s">
        <v>48</v>
      </c>
      <c r="C29">
        <v>441</v>
      </c>
      <c r="D29" t="s">
        <v>29</v>
      </c>
      <c r="E29" t="s">
        <v>59</v>
      </c>
    </row>
    <row r="30" spans="1:5" x14ac:dyDescent="0.25">
      <c r="A30" s="6">
        <v>44865</v>
      </c>
      <c r="B30" t="s">
        <v>49</v>
      </c>
      <c r="C30">
        <v>17432</v>
      </c>
      <c r="D30" t="s">
        <v>30</v>
      </c>
      <c r="E30" t="s">
        <v>58</v>
      </c>
    </row>
    <row r="31" spans="1:5" x14ac:dyDescent="0.25">
      <c r="A31" s="6">
        <v>44865</v>
      </c>
      <c r="B31" t="s">
        <v>88</v>
      </c>
      <c r="C31">
        <v>25227</v>
      </c>
      <c r="D31" t="s">
        <v>90</v>
      </c>
      <c r="E31" t="s">
        <v>91</v>
      </c>
    </row>
    <row r="32" spans="1:5" x14ac:dyDescent="0.25">
      <c r="A32" s="6">
        <v>44895</v>
      </c>
      <c r="B32" t="s">
        <v>48</v>
      </c>
      <c r="C32">
        <v>3308</v>
      </c>
      <c r="D32" t="s">
        <v>29</v>
      </c>
      <c r="E32" t="s">
        <v>59</v>
      </c>
    </row>
    <row r="33" spans="1:5" x14ac:dyDescent="0.25">
      <c r="A33" s="6">
        <v>44895</v>
      </c>
      <c r="B33" t="s">
        <v>49</v>
      </c>
      <c r="C33">
        <v>14355</v>
      </c>
      <c r="D33" t="s">
        <v>30</v>
      </c>
      <c r="E33" t="s">
        <v>58</v>
      </c>
    </row>
    <row r="34" spans="1:5" x14ac:dyDescent="0.25">
      <c r="A34" s="6">
        <v>44895</v>
      </c>
      <c r="B34" t="s">
        <v>88</v>
      </c>
      <c r="C34">
        <v>20452</v>
      </c>
      <c r="D34" t="s">
        <v>90</v>
      </c>
      <c r="E34" t="s">
        <v>91</v>
      </c>
    </row>
    <row r="35" spans="1:5" x14ac:dyDescent="0.25">
      <c r="A35" s="6">
        <v>44926</v>
      </c>
      <c r="B35" t="s">
        <v>48</v>
      </c>
      <c r="C35">
        <v>406</v>
      </c>
      <c r="D35" t="s">
        <v>29</v>
      </c>
      <c r="E35" t="s">
        <v>59</v>
      </c>
    </row>
    <row r="36" spans="1:5" x14ac:dyDescent="0.25">
      <c r="A36" s="6">
        <v>44926</v>
      </c>
      <c r="B36" t="s">
        <v>49</v>
      </c>
      <c r="C36">
        <v>16804</v>
      </c>
      <c r="D36" t="s">
        <v>30</v>
      </c>
      <c r="E36" t="s">
        <v>58</v>
      </c>
    </row>
    <row r="37" spans="1:5" x14ac:dyDescent="0.25">
      <c r="A37" s="6">
        <v>44926</v>
      </c>
      <c r="B37" t="s">
        <v>88</v>
      </c>
      <c r="C37">
        <v>20514</v>
      </c>
      <c r="D37" t="s">
        <v>90</v>
      </c>
      <c r="E37" t="s">
        <v>91</v>
      </c>
    </row>
  </sheetData>
  <autoFilter ref="A1:E37" xr:uid="{9C8837D5-6841-4532-8CD4-727F21B65CA1}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837D5-6841-4532-8CD4-727F21B65CA1}">
  <sheetPr codeName="Sheet12"/>
  <dimension ref="A1:E37"/>
  <sheetViews>
    <sheetView workbookViewId="0"/>
  </sheetViews>
  <sheetFormatPr defaultRowHeight="15" x14ac:dyDescent="0.25"/>
  <cols>
    <col min="1" max="1" width="10.42578125" bestFit="1" customWidth="1"/>
    <col min="2" max="2" width="7.42578125" bestFit="1" customWidth="1"/>
    <col min="3" max="3" width="6" bestFit="1" customWidth="1"/>
    <col min="4" max="4" width="9.7109375" bestFit="1" customWidth="1"/>
    <col min="5" max="5" width="12" bestFit="1" customWidth="1"/>
  </cols>
  <sheetData>
    <row r="1" spans="1:5" x14ac:dyDescent="0.25">
      <c r="A1" t="s">
        <v>55</v>
      </c>
      <c r="B1" t="s">
        <v>28</v>
      </c>
      <c r="C1" t="s">
        <v>56</v>
      </c>
      <c r="D1" t="s">
        <v>25</v>
      </c>
      <c r="E1" t="s">
        <v>26</v>
      </c>
    </row>
    <row r="2" spans="1:5" x14ac:dyDescent="0.25">
      <c r="A2" s="6">
        <v>44592</v>
      </c>
      <c r="B2" t="s">
        <v>48</v>
      </c>
      <c r="C2">
        <v>2091</v>
      </c>
      <c r="D2" t="s">
        <v>29</v>
      </c>
      <c r="E2" t="s">
        <v>59</v>
      </c>
    </row>
    <row r="3" spans="1:5" x14ac:dyDescent="0.25">
      <c r="A3" s="6">
        <v>44592</v>
      </c>
      <c r="B3" t="s">
        <v>49</v>
      </c>
      <c r="C3">
        <v>19604</v>
      </c>
      <c r="D3" t="s">
        <v>30</v>
      </c>
      <c r="E3" t="s">
        <v>58</v>
      </c>
    </row>
    <row r="4" spans="1:5" x14ac:dyDescent="0.25">
      <c r="A4" s="6">
        <v>44592</v>
      </c>
      <c r="B4" t="s">
        <v>88</v>
      </c>
      <c r="C4">
        <v>20996</v>
      </c>
      <c r="D4" t="s">
        <v>90</v>
      </c>
      <c r="E4" t="s">
        <v>91</v>
      </c>
    </row>
    <row r="5" spans="1:5" x14ac:dyDescent="0.25">
      <c r="A5" s="6">
        <v>44620</v>
      </c>
      <c r="B5" t="s">
        <v>48</v>
      </c>
      <c r="C5">
        <v>532</v>
      </c>
      <c r="D5" t="s">
        <v>29</v>
      </c>
      <c r="E5" t="s">
        <v>59</v>
      </c>
    </row>
    <row r="6" spans="1:5" x14ac:dyDescent="0.25">
      <c r="A6" s="6">
        <v>44620</v>
      </c>
      <c r="B6" t="s">
        <v>49</v>
      </c>
      <c r="C6">
        <v>15158</v>
      </c>
      <c r="D6" t="s">
        <v>30</v>
      </c>
      <c r="E6" t="s">
        <v>58</v>
      </c>
    </row>
    <row r="7" spans="1:5" x14ac:dyDescent="0.25">
      <c r="A7" s="6">
        <v>44620</v>
      </c>
      <c r="B7" t="s">
        <v>88</v>
      </c>
      <c r="C7">
        <v>48571</v>
      </c>
      <c r="D7" t="s">
        <v>90</v>
      </c>
      <c r="E7" t="s">
        <v>91</v>
      </c>
    </row>
    <row r="8" spans="1:5" x14ac:dyDescent="0.25">
      <c r="A8" s="6">
        <v>44651</v>
      </c>
      <c r="B8" t="s">
        <v>48</v>
      </c>
      <c r="C8">
        <v>2849</v>
      </c>
      <c r="D8" t="s">
        <v>29</v>
      </c>
      <c r="E8" t="s">
        <v>59</v>
      </c>
    </row>
    <row r="9" spans="1:5" x14ac:dyDescent="0.25">
      <c r="A9" s="6">
        <v>44651</v>
      </c>
      <c r="B9" t="s">
        <v>49</v>
      </c>
      <c r="C9">
        <v>7865</v>
      </c>
      <c r="D9" t="s">
        <v>30</v>
      </c>
      <c r="E9" t="s">
        <v>58</v>
      </c>
    </row>
    <row r="10" spans="1:5" x14ac:dyDescent="0.25">
      <c r="A10" s="6">
        <v>44651</v>
      </c>
      <c r="B10" t="s">
        <v>88</v>
      </c>
      <c r="C10">
        <v>22503</v>
      </c>
      <c r="D10" t="s">
        <v>90</v>
      </c>
      <c r="E10" t="s">
        <v>91</v>
      </c>
    </row>
    <row r="11" spans="1:5" x14ac:dyDescent="0.25">
      <c r="A11" s="6">
        <v>44681</v>
      </c>
      <c r="B11" t="s">
        <v>48</v>
      </c>
      <c r="C11">
        <v>3998</v>
      </c>
      <c r="D11" t="s">
        <v>29</v>
      </c>
      <c r="E11" t="s">
        <v>59</v>
      </c>
    </row>
    <row r="12" spans="1:5" x14ac:dyDescent="0.25">
      <c r="A12" s="6">
        <v>44681</v>
      </c>
      <c r="B12" t="s">
        <v>49</v>
      </c>
      <c r="C12">
        <v>18075</v>
      </c>
      <c r="D12" t="s">
        <v>30</v>
      </c>
      <c r="E12" t="s">
        <v>58</v>
      </c>
    </row>
    <row r="13" spans="1:5" x14ac:dyDescent="0.25">
      <c r="A13" s="6">
        <v>44681</v>
      </c>
      <c r="B13" t="s">
        <v>88</v>
      </c>
      <c r="C13">
        <v>21533</v>
      </c>
      <c r="D13" t="s">
        <v>90</v>
      </c>
      <c r="E13" t="s">
        <v>91</v>
      </c>
    </row>
    <row r="14" spans="1:5" x14ac:dyDescent="0.25">
      <c r="A14" s="6">
        <v>44712</v>
      </c>
      <c r="B14" t="s">
        <v>48</v>
      </c>
      <c r="C14">
        <v>479</v>
      </c>
      <c r="D14" t="s">
        <v>29</v>
      </c>
      <c r="E14" t="s">
        <v>59</v>
      </c>
    </row>
    <row r="15" spans="1:5" x14ac:dyDescent="0.25">
      <c r="A15" s="6">
        <v>44712</v>
      </c>
      <c r="B15" t="s">
        <v>49</v>
      </c>
      <c r="C15">
        <v>12511</v>
      </c>
      <c r="D15" t="s">
        <v>30</v>
      </c>
      <c r="E15" t="s">
        <v>58</v>
      </c>
    </row>
    <row r="16" spans="1:5" x14ac:dyDescent="0.25">
      <c r="A16" s="6">
        <v>44712</v>
      </c>
      <c r="B16" t="s">
        <v>88</v>
      </c>
      <c r="C16">
        <v>31389</v>
      </c>
      <c r="D16" t="s">
        <v>90</v>
      </c>
      <c r="E16" t="s">
        <v>91</v>
      </c>
    </row>
    <row r="17" spans="1:5" x14ac:dyDescent="0.25">
      <c r="A17" s="6">
        <v>44742</v>
      </c>
      <c r="B17" t="s">
        <v>48</v>
      </c>
      <c r="C17">
        <v>3963</v>
      </c>
      <c r="D17" t="s">
        <v>29</v>
      </c>
      <c r="E17" t="s">
        <v>59</v>
      </c>
    </row>
    <row r="18" spans="1:5" x14ac:dyDescent="0.25">
      <c r="A18" s="6">
        <v>44742</v>
      </c>
      <c r="B18" t="s">
        <v>49</v>
      </c>
      <c r="C18">
        <v>11410</v>
      </c>
      <c r="D18" t="s">
        <v>30</v>
      </c>
      <c r="E18" t="s">
        <v>58</v>
      </c>
    </row>
    <row r="19" spans="1:5" x14ac:dyDescent="0.25">
      <c r="A19" s="6">
        <v>44742</v>
      </c>
      <c r="B19" t="s">
        <v>88</v>
      </c>
      <c r="C19">
        <v>28012</v>
      </c>
      <c r="D19" t="s">
        <v>90</v>
      </c>
      <c r="E19" t="s">
        <v>91</v>
      </c>
    </row>
    <row r="20" spans="1:5" x14ac:dyDescent="0.25">
      <c r="A20" s="6">
        <v>44773</v>
      </c>
      <c r="B20" t="s">
        <v>48</v>
      </c>
      <c r="C20">
        <v>3243</v>
      </c>
      <c r="D20" t="s">
        <v>29</v>
      </c>
      <c r="E20" t="s">
        <v>59</v>
      </c>
    </row>
    <row r="21" spans="1:5" x14ac:dyDescent="0.25">
      <c r="A21" s="6">
        <v>44773</v>
      </c>
      <c r="B21" t="s">
        <v>49</v>
      </c>
      <c r="C21">
        <v>11848</v>
      </c>
      <c r="D21" t="s">
        <v>30</v>
      </c>
      <c r="E21" t="s">
        <v>58</v>
      </c>
    </row>
    <row r="22" spans="1:5" x14ac:dyDescent="0.25">
      <c r="A22" s="6">
        <v>44773</v>
      </c>
      <c r="B22" t="s">
        <v>88</v>
      </c>
      <c r="C22">
        <v>44741</v>
      </c>
      <c r="D22" t="s">
        <v>90</v>
      </c>
      <c r="E22" t="s">
        <v>91</v>
      </c>
    </row>
    <row r="23" spans="1:5" x14ac:dyDescent="0.25">
      <c r="A23" s="6">
        <v>44804</v>
      </c>
      <c r="B23" t="s">
        <v>48</v>
      </c>
      <c r="C23">
        <v>3787</v>
      </c>
      <c r="D23" t="s">
        <v>29</v>
      </c>
      <c r="E23" t="s">
        <v>59</v>
      </c>
    </row>
    <row r="24" spans="1:5" x14ac:dyDescent="0.25">
      <c r="A24" s="6">
        <v>44804</v>
      </c>
      <c r="B24" t="s">
        <v>49</v>
      </c>
      <c r="C24">
        <v>11342</v>
      </c>
      <c r="D24" t="s">
        <v>30</v>
      </c>
      <c r="E24" t="s">
        <v>58</v>
      </c>
    </row>
    <row r="25" spans="1:5" x14ac:dyDescent="0.25">
      <c r="A25" s="6">
        <v>44804</v>
      </c>
      <c r="B25" t="s">
        <v>88</v>
      </c>
      <c r="C25">
        <v>44781</v>
      </c>
      <c r="D25" t="s">
        <v>90</v>
      </c>
      <c r="E25" t="s">
        <v>91</v>
      </c>
    </row>
    <row r="26" spans="1:5" x14ac:dyDescent="0.25">
      <c r="A26" s="6">
        <v>44834</v>
      </c>
      <c r="B26" t="s">
        <v>48</v>
      </c>
      <c r="C26">
        <v>4040</v>
      </c>
      <c r="D26" t="s">
        <v>29</v>
      </c>
      <c r="E26" t="s">
        <v>59</v>
      </c>
    </row>
    <row r="27" spans="1:5" x14ac:dyDescent="0.25">
      <c r="A27" s="6">
        <v>44834</v>
      </c>
      <c r="B27" t="s">
        <v>49</v>
      </c>
      <c r="C27">
        <v>17381</v>
      </c>
      <c r="D27" t="s">
        <v>30</v>
      </c>
      <c r="E27" t="s">
        <v>58</v>
      </c>
    </row>
    <row r="28" spans="1:5" x14ac:dyDescent="0.25">
      <c r="A28" s="6">
        <v>44834</v>
      </c>
      <c r="B28" t="s">
        <v>88</v>
      </c>
      <c r="C28">
        <v>28239</v>
      </c>
      <c r="D28" t="s">
        <v>90</v>
      </c>
      <c r="E28" t="s">
        <v>91</v>
      </c>
    </row>
    <row r="29" spans="1:5" x14ac:dyDescent="0.25">
      <c r="A29" s="6">
        <v>44865</v>
      </c>
      <c r="B29" t="s">
        <v>48</v>
      </c>
      <c r="C29">
        <v>441</v>
      </c>
      <c r="D29" t="s">
        <v>29</v>
      </c>
      <c r="E29" t="s">
        <v>59</v>
      </c>
    </row>
    <row r="30" spans="1:5" x14ac:dyDescent="0.25">
      <c r="A30" s="6">
        <v>44865</v>
      </c>
      <c r="B30" t="s">
        <v>49</v>
      </c>
      <c r="C30">
        <v>17432</v>
      </c>
      <c r="D30" t="s">
        <v>30</v>
      </c>
      <c r="E30" t="s">
        <v>58</v>
      </c>
    </row>
    <row r="31" spans="1:5" x14ac:dyDescent="0.25">
      <c r="A31" s="6">
        <v>44865</v>
      </c>
      <c r="B31" t="s">
        <v>88</v>
      </c>
      <c r="C31">
        <v>25227</v>
      </c>
      <c r="D31" t="s">
        <v>90</v>
      </c>
      <c r="E31" t="s">
        <v>91</v>
      </c>
    </row>
    <row r="32" spans="1:5" x14ac:dyDescent="0.25">
      <c r="A32" s="6">
        <v>44895</v>
      </c>
      <c r="B32" t="s">
        <v>48</v>
      </c>
      <c r="C32">
        <v>3308</v>
      </c>
      <c r="D32" t="s">
        <v>29</v>
      </c>
      <c r="E32" t="s">
        <v>59</v>
      </c>
    </row>
    <row r="33" spans="1:5" x14ac:dyDescent="0.25">
      <c r="A33" s="6">
        <v>44895</v>
      </c>
      <c r="B33" t="s">
        <v>49</v>
      </c>
      <c r="C33">
        <v>14355</v>
      </c>
      <c r="D33" t="s">
        <v>30</v>
      </c>
      <c r="E33" t="s">
        <v>58</v>
      </c>
    </row>
    <row r="34" spans="1:5" x14ac:dyDescent="0.25">
      <c r="A34" s="6">
        <v>44895</v>
      </c>
      <c r="B34" t="s">
        <v>88</v>
      </c>
      <c r="C34">
        <v>20452</v>
      </c>
      <c r="D34" t="s">
        <v>90</v>
      </c>
      <c r="E34" t="s">
        <v>91</v>
      </c>
    </row>
    <row r="35" spans="1:5" x14ac:dyDescent="0.25">
      <c r="A35" s="6">
        <v>44926</v>
      </c>
      <c r="B35" t="s">
        <v>48</v>
      </c>
      <c r="C35">
        <v>406</v>
      </c>
      <c r="D35" t="s">
        <v>29</v>
      </c>
      <c r="E35" t="s">
        <v>59</v>
      </c>
    </row>
    <row r="36" spans="1:5" x14ac:dyDescent="0.25">
      <c r="A36" s="6">
        <v>44926</v>
      </c>
      <c r="B36" t="s">
        <v>49</v>
      </c>
      <c r="C36">
        <v>16804</v>
      </c>
      <c r="D36" t="s">
        <v>30</v>
      </c>
      <c r="E36" t="s">
        <v>58</v>
      </c>
    </row>
    <row r="37" spans="1:5" x14ac:dyDescent="0.25">
      <c r="A37" s="6">
        <v>44926</v>
      </c>
      <c r="B37" t="s">
        <v>88</v>
      </c>
      <c r="C37">
        <v>20514</v>
      </c>
      <c r="D37" t="s">
        <v>90</v>
      </c>
      <c r="E37" t="s">
        <v>91</v>
      </c>
    </row>
  </sheetData>
  <autoFilter ref="A1:E37" xr:uid="{9C8837D5-6841-4532-8CD4-727F21B65CA1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dev</vt:lpstr>
      <vt:lpstr>exceptions</vt:lpstr>
      <vt:lpstr>report_1</vt:lpstr>
      <vt:lpstr>____colors_del</vt:lpstr>
      <vt:lpstr>xy_bar_horizontal</vt:lpstr>
      <vt:lpstr>xy_hr_bar</vt:lpstr>
      <vt:lpstr>calibration</vt:lpstr>
      <vt:lpstr>xyz_hr_bar_data</vt:lpstr>
      <vt:lpstr>xyz_hr_bar</vt:lpstr>
      <vt:lpstr>xyv_multiline</vt:lpstr>
      <vt:lpstr>xv_single_line</vt:lpstr>
      <vt:lpstr>xyv_stacked_bar_grid</vt:lpstr>
      <vt:lpstr>xyv_stacked_bar</vt:lpstr>
      <vt:lpstr>xyv_stacked_bar_legend</vt:lpstr>
      <vt:lpstr>flow_alluvial_plot_6f</vt:lpstr>
      <vt:lpstr>flow_alluvial_py_r</vt:lpstr>
      <vt:lpstr>xyv_stacked_bar_simple</vt:lpstr>
      <vt:lpstr>xyv_stacked_bar_totals</vt:lpstr>
      <vt:lpstr>xyv_stacked_bar_nok</vt:lpstr>
      <vt:lpstr>xyv_stacked_bar_dual_axis</vt:lpstr>
      <vt:lpstr>xyv_stacked_bar_1x</vt:lpstr>
      <vt:lpstr>xyv_stacked_bar_2x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Ashutosh Gaur</dc:creator>
  <cp:lastModifiedBy>Ashutosh Gaur</cp:lastModifiedBy>
  <dcterms:created xsi:type="dcterms:W3CDTF">2025-02-06T13:41:15Z</dcterms:created>
  <dcterms:modified xsi:type="dcterms:W3CDTF">2025-06-20T16:28:11Z</dcterms:modified>
</cp:coreProperties>
</file>